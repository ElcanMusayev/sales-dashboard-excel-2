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C:\Users\ACER\OneDrive\Desktop\excel kurs\"/>
    </mc:Choice>
  </mc:AlternateContent>
  <xr:revisionPtr revIDLastSave="0" documentId="13_ncr:1_{EB9F590C-4E3E-417C-83AE-75CDA8148978}" xr6:coauthVersionLast="47" xr6:coauthVersionMax="47" xr10:uidLastSave="{00000000-0000-0000-0000-000000000000}"/>
  <bookViews>
    <workbookView xWindow="-108" yWindow="-108" windowWidth="23256" windowHeight="12576" activeTab="3" xr2:uid="{5BC3D450-48CA-43D1-B946-1D28BBE8585B}"/>
  </bookViews>
  <sheets>
    <sheet name="data" sheetId="1" r:id="rId1"/>
    <sheet name="Analysis" sheetId="3" r:id="rId2"/>
    <sheet name="Sheet4" sheetId="4" r:id="rId3"/>
    <sheet name="DASHBOARD" sheetId="5" r:id="rId4"/>
  </sheets>
  <definedNames>
    <definedName name="Slicer_Quarter">#N/A</definedName>
    <definedName name="Slicer_Month">#N/A</definedName>
    <definedName name="Slicer_Segment">#N/A</definedName>
    <definedName name="Slicer_Year">#N/A</definedName>
  </definedNames>
  <calcPr calcId="191029"/>
  <pivotCaches>
    <pivotCache cacheId="27"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7" i="3" l="1"/>
  <c r="K25" i="3"/>
  <c r="K26" i="3"/>
  <c r="K27" i="3"/>
  <c r="K28" i="3"/>
  <c r="K29" i="3"/>
  <c r="K24" i="3"/>
  <c r="A47" i="3"/>
  <c r="B10" i="3"/>
  <c r="F32" i="3"/>
  <c r="L24" i="3" l="1"/>
  <c r="L29" i="3"/>
  <c r="L28" i="3"/>
  <c r="L27" i="3"/>
  <c r="L26" i="3"/>
  <c r="L25" i="3"/>
  <c r="L6" i="3"/>
  <c r="L7" i="3"/>
  <c r="L8" i="3"/>
  <c r="L9" i="3"/>
  <c r="L10" i="3"/>
  <c r="L11" i="3"/>
  <c r="L12" i="3"/>
  <c r="L13" i="3"/>
  <c r="L14" i="3"/>
  <c r="L15" i="3"/>
  <c r="L16" i="3"/>
  <c r="N6" i="3"/>
  <c r="N7" i="3"/>
  <c r="N8" i="3"/>
  <c r="N9" i="3"/>
  <c r="N10" i="3"/>
  <c r="N11" i="3"/>
  <c r="N12" i="3"/>
  <c r="N13" i="3"/>
  <c r="N14" i="3"/>
  <c r="N15" i="3"/>
  <c r="N16" i="3"/>
  <c r="P16" i="3" s="1"/>
  <c r="N5" i="3"/>
  <c r="L5" i="3"/>
  <c r="B53" i="3"/>
  <c r="B52" i="3"/>
  <c r="F25" i="3"/>
  <c r="F26" i="3"/>
  <c r="F27" i="3"/>
  <c r="F28" i="3"/>
  <c r="F29" i="3"/>
  <c r="F30" i="3"/>
  <c r="F31" i="3"/>
  <c r="F24" i="3"/>
  <c r="M11" i="3"/>
  <c r="M14" i="3"/>
  <c r="M15" i="3"/>
  <c r="M16" i="3"/>
  <c r="M6" i="3"/>
  <c r="M7" i="3"/>
  <c r="M8" i="3"/>
  <c r="M9" i="3"/>
  <c r="M10" i="3"/>
  <c r="M12" i="3"/>
  <c r="M13" i="3"/>
  <c r="M5" i="3"/>
  <c r="G24" i="3" l="1"/>
  <c r="G31" i="3"/>
  <c r="G30" i="3"/>
  <c r="G29" i="3"/>
  <c r="G28" i="3"/>
  <c r="G27" i="3"/>
  <c r="G26" i="3"/>
  <c r="G25" i="3"/>
  <c r="O16" i="3"/>
  <c r="B54" i="3"/>
</calcChain>
</file>

<file path=xl/sharedStrings.xml><?xml version="1.0" encoding="utf-8"?>
<sst xmlns="http://schemas.openxmlformats.org/spreadsheetml/2006/main" count="8655" uniqueCount="956">
  <si>
    <t>Segment</t>
  </si>
  <si>
    <t>Country</t>
  </si>
  <si>
    <t>Product_Name</t>
  </si>
  <si>
    <t>Customer_ID</t>
  </si>
  <si>
    <t>Product_ID</t>
  </si>
  <si>
    <t>Customer_Name</t>
  </si>
  <si>
    <t>Discount Band</t>
  </si>
  <si>
    <t>Date</t>
  </si>
  <si>
    <t>Month</t>
  </si>
  <si>
    <t>Quarter</t>
  </si>
  <si>
    <t>Year</t>
  </si>
  <si>
    <t>Units Sold</t>
  </si>
  <si>
    <t>Manufacturing Price</t>
  </si>
  <si>
    <t>Sale Price</t>
  </si>
  <si>
    <t>Gross Sales</t>
  </si>
  <si>
    <t>Discounts</t>
  </si>
  <si>
    <t>Net Sales</t>
  </si>
  <si>
    <t>Sales ('000)</t>
  </si>
  <si>
    <t>COGS</t>
  </si>
  <si>
    <t>Profit</t>
  </si>
  <si>
    <t>Enterprise</t>
  </si>
  <si>
    <t>USA</t>
  </si>
  <si>
    <t>X-Terrain</t>
  </si>
  <si>
    <t>CUST_ID_001</t>
  </si>
  <si>
    <t>PROD_ID_001</t>
  </si>
  <si>
    <t>James Smith</t>
  </si>
  <si>
    <t>None</t>
  </si>
  <si>
    <t>Sep</t>
  </si>
  <si>
    <t>Q3</t>
  </si>
  <si>
    <t>6.00</t>
  </si>
  <si>
    <t>188.00</t>
  </si>
  <si>
    <t>-</t>
  </si>
  <si>
    <t>43.13</t>
  </si>
  <si>
    <t>Midmarket</t>
  </si>
  <si>
    <t>Canada</t>
  </si>
  <si>
    <t>City Cruiser</t>
  </si>
  <si>
    <t>CUST_ID_002</t>
  </si>
  <si>
    <t>PROD_ID_002</t>
  </si>
  <si>
    <t>Emma Johnson</t>
  </si>
  <si>
    <t>Jan</t>
  </si>
  <si>
    <t>Q1</t>
  </si>
  <si>
    <t>12.00</t>
  </si>
  <si>
    <t>23.00</t>
  </si>
  <si>
    <t>Small Business</t>
  </si>
  <si>
    <t>England</t>
  </si>
  <si>
    <t>CUST_ID_003</t>
  </si>
  <si>
    <t>Noah Williams</t>
  </si>
  <si>
    <t>450.00</t>
  </si>
  <si>
    <t>236.40</t>
  </si>
  <si>
    <t>Government</t>
  </si>
  <si>
    <t>France</t>
  </si>
  <si>
    <t>CUST_ID_004</t>
  </si>
  <si>
    <t>Olivia Brown</t>
  </si>
  <si>
    <t>Aug</t>
  </si>
  <si>
    <t>525.00</t>
  </si>
  <si>
    <t>1,086,750</t>
  </si>
  <si>
    <t>603.75</t>
  </si>
  <si>
    <t>1,061,910</t>
  </si>
  <si>
    <t>Channel Partners</t>
  </si>
  <si>
    <t>Germany</t>
  </si>
  <si>
    <t>CUST_ID_005</t>
  </si>
  <si>
    <t>Liam Jones</t>
  </si>
  <si>
    <t>Jul</t>
  </si>
  <si>
    <t>18.00</t>
  </si>
  <si>
    <t>Italy</t>
  </si>
  <si>
    <t>CUST_ID_006</t>
  </si>
  <si>
    <t>Ava Davis</t>
  </si>
  <si>
    <t>32.28</t>
  </si>
  <si>
    <t>India</t>
  </si>
  <si>
    <t>Speedster</t>
  </si>
  <si>
    <t>CUST_ID_007</t>
  </si>
  <si>
    <t>PROD_ID_003</t>
  </si>
  <si>
    <t>Ethan Miller</t>
  </si>
  <si>
    <t>148.00</t>
  </si>
  <si>
    <t>Japan</t>
  </si>
  <si>
    <t>Trail Master</t>
  </si>
  <si>
    <t>CUST_ID_008</t>
  </si>
  <si>
    <t>PROD_ID_004</t>
  </si>
  <si>
    <t>Isabella Wilson</t>
  </si>
  <si>
    <t>Feb</t>
  </si>
  <si>
    <t>308.00</t>
  </si>
  <si>
    <t>534.45</t>
  </si>
  <si>
    <t>Road Racer</t>
  </si>
  <si>
    <t>CUST_ID_009</t>
  </si>
  <si>
    <t>PROD_ID_005</t>
  </si>
  <si>
    <t>Mason Taylor</t>
  </si>
  <si>
    <t>Low</t>
  </si>
  <si>
    <t>4.00</t>
  </si>
  <si>
    <t>40.84</t>
  </si>
  <si>
    <t>CUST_ID_010</t>
  </si>
  <si>
    <t>Sophia Anderson</t>
  </si>
  <si>
    <t>Apr</t>
  </si>
  <si>
    <t>Q2</t>
  </si>
  <si>
    <t>CUST_ID_011</t>
  </si>
  <si>
    <t>Benjamin Martinez</t>
  </si>
  <si>
    <t>Nov</t>
  </si>
  <si>
    <t>Q4</t>
  </si>
  <si>
    <t>146.72</t>
  </si>
  <si>
    <t>CUST_ID_012</t>
  </si>
  <si>
    <t>Mia Thomas</t>
  </si>
  <si>
    <t>Dec</t>
  </si>
  <si>
    <t>1,349,100</t>
  </si>
  <si>
    <t>1,335,609</t>
  </si>
  <si>
    <t>741.91</t>
  </si>
  <si>
    <t>1,317,621</t>
  </si>
  <si>
    <t>CUST_ID_013</t>
  </si>
  <si>
    <t>Logan Jackson</t>
  </si>
  <si>
    <t>82.05</t>
  </si>
  <si>
    <t>CUST_ID_014</t>
  </si>
  <si>
    <t>Charlotte White</t>
  </si>
  <si>
    <t>CUST_ID_015</t>
  </si>
  <si>
    <t>Samuel Taylor</t>
  </si>
  <si>
    <t>Mar</t>
  </si>
  <si>
    <t>CUST_ID_016</t>
  </si>
  <si>
    <t>Harper Davis</t>
  </si>
  <si>
    <t>Oct</t>
  </si>
  <si>
    <t>11.00</t>
  </si>
  <si>
    <t>14.50</t>
  </si>
  <si>
    <t>CUST_ID_017</t>
  </si>
  <si>
    <t>Henry Anderson</t>
  </si>
  <si>
    <t>Yellow Edition</t>
  </si>
  <si>
    <t>CUST_ID_018</t>
  </si>
  <si>
    <t>PROD_ID_006</t>
  </si>
  <si>
    <t>Amelia Garcia</t>
  </si>
  <si>
    <t>320.00</t>
  </si>
  <si>
    <t>23.63</t>
  </si>
  <si>
    <t>CUST_ID_019</t>
  </si>
  <si>
    <t>Jackson Martinez</t>
  </si>
  <si>
    <t>CUST_ID_020</t>
  </si>
  <si>
    <t>Abigail Robinson</t>
  </si>
  <si>
    <t>62.92</t>
  </si>
  <si>
    <t>CUST_ID_021</t>
  </si>
  <si>
    <t>Aiden Lewis</t>
  </si>
  <si>
    <t>14.71</t>
  </si>
  <si>
    <t>CUST_ID_022</t>
  </si>
  <si>
    <t>Emily Clark</t>
  </si>
  <si>
    <t>203.35</t>
  </si>
  <si>
    <t>CUST_ID_023</t>
  </si>
  <si>
    <t>Sebastian Lee</t>
  </si>
  <si>
    <t>99.10</t>
  </si>
  <si>
    <t>CUST_ID_024</t>
  </si>
  <si>
    <t>Elizabeth Green</t>
  </si>
  <si>
    <t>May</t>
  </si>
  <si>
    <t>262.76</t>
  </si>
  <si>
    <t>CUST_ID_025</t>
  </si>
  <si>
    <t>Alexander Perez</t>
  </si>
  <si>
    <t>20.99</t>
  </si>
  <si>
    <t>CUST_ID_026</t>
  </si>
  <si>
    <t>Avery Turner</t>
  </si>
  <si>
    <t>28.30</t>
  </si>
  <si>
    <t>CUST_ID_027</t>
  </si>
  <si>
    <t>Michael Hill</t>
  </si>
  <si>
    <t>13.81</t>
  </si>
  <si>
    <t>CUST_ID_028</t>
  </si>
  <si>
    <t>Sofia Phillips</t>
  </si>
  <si>
    <t>1,868,475</t>
  </si>
  <si>
    <t>1,831,106</t>
  </si>
  <si>
    <t>1,017.34</t>
  </si>
  <si>
    <t>1,304,374</t>
  </si>
  <si>
    <t>CUST_ID_029</t>
  </si>
  <si>
    <t>Elijah Martin</t>
  </si>
  <si>
    <t>CUST_ID_030</t>
  </si>
  <si>
    <t>Sophia Turner</t>
  </si>
  <si>
    <t>CUST_ID_031</t>
  </si>
  <si>
    <t>Benjamin Lee</t>
  </si>
  <si>
    <t>30.00</t>
  </si>
  <si>
    <t>CUST_ID_032</t>
  </si>
  <si>
    <t>Mia White</t>
  </si>
  <si>
    <t>CUST_ID_033</t>
  </si>
  <si>
    <t>Logan Garcia</t>
  </si>
  <si>
    <t>91.24</t>
  </si>
  <si>
    <t>CUST_ID_034</t>
  </si>
  <si>
    <t>Charlotte Davis</t>
  </si>
  <si>
    <t>1,222,200</t>
  </si>
  <si>
    <t>1,197,756</t>
  </si>
  <si>
    <t>665.42</t>
  </si>
  <si>
    <t>CUST_ID_035</t>
  </si>
  <si>
    <t>Samuel Johnson</t>
  </si>
  <si>
    <t>1,138,880</t>
  </si>
  <si>
    <t>CUST_ID_036</t>
  </si>
  <si>
    <t>Harper Anderson</t>
  </si>
  <si>
    <t>CUST_ID_037</t>
  </si>
  <si>
    <t>Henry Martinez</t>
  </si>
  <si>
    <t>1,131,900</t>
  </si>
  <si>
    <t>1,097,943</t>
  </si>
  <si>
    <t>610.08</t>
  </si>
  <si>
    <t>1,085,007</t>
  </si>
  <si>
    <t>CUST_ID_038</t>
  </si>
  <si>
    <t>Amelia Wilson</t>
  </si>
  <si>
    <t>CUST_ID_039</t>
  </si>
  <si>
    <t>Jackson Turner</t>
  </si>
  <si>
    <t>CUST_ID_040</t>
  </si>
  <si>
    <t>Abigail Lewis</t>
  </si>
  <si>
    <t>32.56</t>
  </si>
  <si>
    <t>CUST_ID_041</t>
  </si>
  <si>
    <t>Aiden Clark</t>
  </si>
  <si>
    <t>14.13</t>
  </si>
  <si>
    <t>CUST_ID_042</t>
  </si>
  <si>
    <t>Emily Garcia</t>
  </si>
  <si>
    <t>19.16</t>
  </si>
  <si>
    <t>CUST_ID_043</t>
  </si>
  <si>
    <t>Sebastian Phillips</t>
  </si>
  <si>
    <t>CUST_ID_044</t>
  </si>
  <si>
    <t>Elizabeth Martin</t>
  </si>
  <si>
    <t>21.80</t>
  </si>
  <si>
    <t>Jun</t>
  </si>
  <si>
    <t>50.80</t>
  </si>
  <si>
    <t>117.26</t>
  </si>
  <si>
    <t>CUST_ID_045</t>
  </si>
  <si>
    <t>Alexander Hill</t>
  </si>
  <si>
    <t>CUST_ID_046</t>
  </si>
  <si>
    <t>Avery Anderson</t>
  </si>
  <si>
    <t>CUST_ID_047</t>
  </si>
  <si>
    <t>Michael Wilson</t>
  </si>
  <si>
    <t>1,120,350</t>
  </si>
  <si>
    <t>1,075,536</t>
  </si>
  <si>
    <t>597.41</t>
  </si>
  <si>
    <t>Medium</t>
  </si>
  <si>
    <t>15.62</t>
  </si>
  <si>
    <t>CUST_ID_048</t>
  </si>
  <si>
    <t>Sofia Turner</t>
  </si>
  <si>
    <t>CUST_ID_049</t>
  </si>
  <si>
    <t>Elijah Perez</t>
  </si>
  <si>
    <t>239.40</t>
  </si>
  <si>
    <t>CUST_ID_050</t>
  </si>
  <si>
    <t>Mia Hill</t>
  </si>
  <si>
    <t>313.50</t>
  </si>
  <si>
    <t>408.31</t>
  </si>
  <si>
    <t>26.39</t>
  </si>
  <si>
    <t>CUST_ID_051</t>
  </si>
  <si>
    <t>Logan Phillips</t>
  </si>
  <si>
    <t>83.60</t>
  </si>
  <si>
    <t>34.24</t>
  </si>
  <si>
    <t>CUST_ID_052</t>
  </si>
  <si>
    <t>Charlotte Martin</t>
  </si>
  <si>
    <t>14.20</t>
  </si>
  <si>
    <t>30.15</t>
  </si>
  <si>
    <t>CUST_ID_053</t>
  </si>
  <si>
    <t>Samuel Hill</t>
  </si>
  <si>
    <t>CUST_ID_054</t>
  </si>
  <si>
    <t>Harper Wilson</t>
  </si>
  <si>
    <t>19.63</t>
  </si>
  <si>
    <t>CUST_ID_055</t>
  </si>
  <si>
    <t>Henry Turner</t>
  </si>
  <si>
    <t>CUST_ID_056</t>
  </si>
  <si>
    <t>Amelia Perez</t>
  </si>
  <si>
    <t>43.64</t>
  </si>
  <si>
    <t>25.93</t>
  </si>
  <si>
    <t>CUST_ID_057</t>
  </si>
  <si>
    <t>Jackson Hill</t>
  </si>
  <si>
    <t>CUST_ID_058</t>
  </si>
  <si>
    <t>Abigail Phillips</t>
  </si>
  <si>
    <t>104.22</t>
  </si>
  <si>
    <t>CUST_ID_059</t>
  </si>
  <si>
    <t>Aiden Martin</t>
  </si>
  <si>
    <t>CUST_ID_060</t>
  </si>
  <si>
    <t>239.18</t>
  </si>
  <si>
    <t>CUST_ID_061</t>
  </si>
  <si>
    <t>Benjamin Martin</t>
  </si>
  <si>
    <t>344.32</t>
  </si>
  <si>
    <t>1,307,775</t>
  </si>
  <si>
    <t>1,229,309</t>
  </si>
  <si>
    <t>683.00</t>
  </si>
  <si>
    <t>CUST_ID_062</t>
  </si>
  <si>
    <t>Mia Lewis</t>
  </si>
  <si>
    <t>CUST_ID_063</t>
  </si>
  <si>
    <t>Logan Clark</t>
  </si>
  <si>
    <t>1,315,350</t>
  </si>
  <si>
    <t>1,236,429</t>
  </si>
  <si>
    <t>686.95</t>
  </si>
  <si>
    <t>CUST_ID_064</t>
  </si>
  <si>
    <t>Charlotte Anderson</t>
  </si>
  <si>
    <t>CUST_ID_065</t>
  </si>
  <si>
    <t>Samuel Wilson</t>
  </si>
  <si>
    <t>33.03</t>
  </si>
  <si>
    <t>CUST_ID_066</t>
  </si>
  <si>
    <t>Harper Turner</t>
  </si>
  <si>
    <t>34.11</t>
  </si>
  <si>
    <t>CUST_ID_067</t>
  </si>
  <si>
    <t>Henry Phillips</t>
  </si>
  <si>
    <t>24.72</t>
  </si>
  <si>
    <t>CUST_ID_068</t>
  </si>
  <si>
    <t>Amelia Martin</t>
  </si>
  <si>
    <t>290.63</t>
  </si>
  <si>
    <t>40.89</t>
  </si>
  <si>
    <t>CUST_ID_069</t>
  </si>
  <si>
    <t>313.32</t>
  </si>
  <si>
    <t>CUST_ID_070</t>
  </si>
  <si>
    <t>Abigail Garcia</t>
  </si>
  <si>
    <t>391.72</t>
  </si>
  <si>
    <t>CUST_ID_071</t>
  </si>
  <si>
    <t>Aiden Perez</t>
  </si>
  <si>
    <t>30.84</t>
  </si>
  <si>
    <t>CUST_ID_072</t>
  </si>
  <si>
    <t>Emily Hill</t>
  </si>
  <si>
    <t>13.83</t>
  </si>
  <si>
    <t>26.43</t>
  </si>
  <si>
    <t>CUST_ID_073</t>
  </si>
  <si>
    <t>Benjamin Phillips</t>
  </si>
  <si>
    <t>115.55</t>
  </si>
  <si>
    <t>CUST_ID_074</t>
  </si>
  <si>
    <t>Mia Turner</t>
  </si>
  <si>
    <t>354.11</t>
  </si>
  <si>
    <t>15.51</t>
  </si>
  <si>
    <t>1,351,875</t>
  </si>
  <si>
    <t>1,243,725</t>
  </si>
  <si>
    <t>691.01</t>
  </si>
  <si>
    <t>1,212,825</t>
  </si>
  <si>
    <t>106.54</t>
  </si>
  <si>
    <t>CUST_ID_075</t>
  </si>
  <si>
    <t>Logan Martin</t>
  </si>
  <si>
    <t>223.01</t>
  </si>
  <si>
    <t>CUST_ID_076</t>
  </si>
  <si>
    <t>Charlotte Garcia</t>
  </si>
  <si>
    <t>15.18</t>
  </si>
  <si>
    <t>CUST_ID_077</t>
  </si>
  <si>
    <t>Samuel Phillips</t>
  </si>
  <si>
    <t>CUST_ID_078</t>
  </si>
  <si>
    <t>Harper Hill</t>
  </si>
  <si>
    <t>87.91</t>
  </si>
  <si>
    <t>CUST_ID_079</t>
  </si>
  <si>
    <t>211.23</t>
  </si>
  <si>
    <t>CUST_ID_080</t>
  </si>
  <si>
    <t>91.18</t>
  </si>
  <si>
    <t>19.38</t>
  </si>
  <si>
    <t>CUST_ID_081</t>
  </si>
  <si>
    <t>Jackson Lewis</t>
  </si>
  <si>
    <t>24.40</t>
  </si>
  <si>
    <t>CUST_ID_082</t>
  </si>
  <si>
    <t>Abigail Clark</t>
  </si>
  <si>
    <t>13.24</t>
  </si>
  <si>
    <t>48.81</t>
  </si>
  <si>
    <t>CUST_ID_083</t>
  </si>
  <si>
    <t>Aiden Anderson</t>
  </si>
  <si>
    <t>CUST_ID_084</t>
  </si>
  <si>
    <t>Emily Martin</t>
  </si>
  <si>
    <t>High</t>
  </si>
  <si>
    <t>CUST_ID_085</t>
  </si>
  <si>
    <t>Benjamin Garcia</t>
  </si>
  <si>
    <t>166.73</t>
  </si>
  <si>
    <t>202.95</t>
  </si>
  <si>
    <t>29.25</t>
  </si>
  <si>
    <t>CUST_ID_086</t>
  </si>
  <si>
    <t>1,238,850</t>
  </si>
  <si>
    <t>1,114,965</t>
  </si>
  <si>
    <t>619.38</t>
  </si>
  <si>
    <t>215.55</t>
  </si>
  <si>
    <t>CUST_ID_087</t>
  </si>
  <si>
    <t>1,178,100</t>
  </si>
  <si>
    <t>1,060,290</t>
  </si>
  <si>
    <t>589.05</t>
  </si>
  <si>
    <t>CUST_ID_088</t>
  </si>
  <si>
    <t>Charlotte Hill</t>
  </si>
  <si>
    <t>CUST_ID_089</t>
  </si>
  <si>
    <t>Samuel Turner</t>
  </si>
  <si>
    <t>CUST_ID_090</t>
  </si>
  <si>
    <t>Harper Martin</t>
  </si>
  <si>
    <t>20.83</t>
  </si>
  <si>
    <t>16.86</t>
  </si>
  <si>
    <t>53.26</t>
  </si>
  <si>
    <t>49.93</t>
  </si>
  <si>
    <t>CUST_ID_091</t>
  </si>
  <si>
    <t>Henry Garcia</t>
  </si>
  <si>
    <t>107.16</t>
  </si>
  <si>
    <t>52.24</t>
  </si>
  <si>
    <t>1,084,776</t>
  </si>
  <si>
    <t>CUST_ID_092</t>
  </si>
  <si>
    <t>Amelia Phillips</t>
  </si>
  <si>
    <t>105.35</t>
  </si>
  <si>
    <t>CUST_ID_093</t>
  </si>
  <si>
    <t>CUST_ID_094</t>
  </si>
  <si>
    <t>Abigail Martin</t>
  </si>
  <si>
    <t>265.76</t>
  </si>
  <si>
    <t>30.18</t>
  </si>
  <si>
    <t>313.10</t>
  </si>
  <si>
    <t>191.88</t>
  </si>
  <si>
    <t>33.63</t>
  </si>
  <si>
    <t>CUST_ID_095</t>
  </si>
  <si>
    <t>Aiden Garcia</t>
  </si>
  <si>
    <t>29.16</t>
  </si>
  <si>
    <t>1,060,160</t>
  </si>
  <si>
    <t>-1,007,682</t>
  </si>
  <si>
    <t>CUST_ID_096</t>
  </si>
  <si>
    <t>Emily Phillips</t>
  </si>
  <si>
    <t>CUST_ID_097</t>
  </si>
  <si>
    <t>Benjamin Hill</t>
  </si>
  <si>
    <t>1,406,700</t>
  </si>
  <si>
    <t>1,223,829</t>
  </si>
  <si>
    <t>679.91</t>
  </si>
  <si>
    <t>CUST_ID_098</t>
  </si>
  <si>
    <t>18.48</t>
  </si>
  <si>
    <t>CUST_ID_099</t>
  </si>
  <si>
    <t>20.79</t>
  </si>
  <si>
    <t>109.97</t>
  </si>
  <si>
    <t>CUST_ID_100</t>
  </si>
  <si>
    <t>303.26</t>
  </si>
  <si>
    <t>31.86</t>
  </si>
  <si>
    <t>22.48</t>
  </si>
  <si>
    <t>22.93</t>
  </si>
  <si>
    <t>1,210,650</t>
  </si>
  <si>
    <t>1,041,159</t>
  </si>
  <si>
    <t>578.52</t>
  </si>
  <si>
    <t>1,013,487</t>
  </si>
  <si>
    <t>CUST_ID_101</t>
  </si>
  <si>
    <t>69.40</t>
  </si>
  <si>
    <t>CUST_ID_102</t>
  </si>
  <si>
    <t>Harper Phillips</t>
  </si>
  <si>
    <t>1,369,350</t>
  </si>
  <si>
    <t>1,177,641</t>
  </si>
  <si>
    <t>654.29</t>
  </si>
  <si>
    <t>385.58</t>
  </si>
  <si>
    <t>CUST_ID_103</t>
  </si>
  <si>
    <t>Henry Martin</t>
  </si>
  <si>
    <t>CUST_ID_104</t>
  </si>
  <si>
    <t>Amelia Hill</t>
  </si>
  <si>
    <t>1,264,200</t>
  </si>
  <si>
    <t>1,074,570</t>
  </si>
  <si>
    <t>597.08</t>
  </si>
  <si>
    <t>1,045,674</t>
  </si>
  <si>
    <t>1,355,025</t>
  </si>
  <si>
    <t>1,151,771</t>
  </si>
  <si>
    <t>639.92</t>
  </si>
  <si>
    <t>1,120,799</t>
  </si>
  <si>
    <t>1,390,050</t>
  </si>
  <si>
    <t>1,181,543</t>
  </si>
  <si>
    <t>656.37</t>
  </si>
  <si>
    <t>259.04</t>
  </si>
  <si>
    <t>CUST_ID_105</t>
  </si>
  <si>
    <t>313.86</t>
  </si>
  <si>
    <t>1,091,860</t>
  </si>
  <si>
    <t>32.37</t>
  </si>
  <si>
    <t>26.42</t>
  </si>
  <si>
    <t>CUST_ID_106</t>
  </si>
  <si>
    <t>32.67</t>
  </si>
  <si>
    <t>CUST_ID_107</t>
  </si>
  <si>
    <t>Aiden Hill</t>
  </si>
  <si>
    <t>13.32</t>
  </si>
  <si>
    <t>CUST_ID_108</t>
  </si>
  <si>
    <t>37.05</t>
  </si>
  <si>
    <t>529.55</t>
  </si>
  <si>
    <t>CUST_ID_109</t>
  </si>
  <si>
    <t>13.82</t>
  </si>
  <si>
    <t>CUST_ID_110</t>
  </si>
  <si>
    <t>30.22</t>
  </si>
  <si>
    <t>37.98</t>
  </si>
  <si>
    <t>CUST_ID_111</t>
  </si>
  <si>
    <t>18.54</t>
  </si>
  <si>
    <t>CUST_ID_112</t>
  </si>
  <si>
    <t>333.19</t>
  </si>
  <si>
    <t>287.40</t>
  </si>
  <si>
    <t>CUST_ID_113</t>
  </si>
  <si>
    <t>14.61</t>
  </si>
  <si>
    <t>352.10</t>
  </si>
  <si>
    <t>37.08</t>
  </si>
  <si>
    <t>8.00</t>
  </si>
  <si>
    <t>36.34</t>
  </si>
  <si>
    <t>225.50</t>
  </si>
  <si>
    <t>CUST_ID_114</t>
  </si>
  <si>
    <t>352.63</t>
  </si>
  <si>
    <t>1,080,450</t>
  </si>
  <si>
    <t>600.30</t>
  </si>
  <si>
    <t>34.06</t>
  </si>
  <si>
    <t>1,049,048</t>
  </si>
  <si>
    <t>1,161,450</t>
  </si>
  <si>
    <t>645.30</t>
  </si>
  <si>
    <t>1,732,500</t>
  </si>
  <si>
    <t>962.50</t>
  </si>
  <si>
    <t>1,056,000</t>
  </si>
  <si>
    <t>23.44</t>
  </si>
  <si>
    <t>527.44</t>
  </si>
  <si>
    <t>1,620,160</t>
  </si>
  <si>
    <t>25.69</t>
  </si>
  <si>
    <t>27.34</t>
  </si>
  <si>
    <t>34.10</t>
  </si>
  <si>
    <t>419.27</t>
  </si>
  <si>
    <t>17.53</t>
  </si>
  <si>
    <t>17.17</t>
  </si>
  <si>
    <t>31.73</t>
  </si>
  <si>
    <t>484.06</t>
  </si>
  <si>
    <t>1,357,650</t>
  </si>
  <si>
    <t>1,344,074</t>
  </si>
  <si>
    <t>746.71</t>
  </si>
  <si>
    <t>1,333,730</t>
  </si>
  <si>
    <t>32.88</t>
  </si>
  <si>
    <t>1,242,450</t>
  </si>
  <si>
    <t>1,230,026</t>
  </si>
  <si>
    <t>683.40</t>
  </si>
  <si>
    <t>1,213,460</t>
  </si>
  <si>
    <t>27.23</t>
  </si>
  <si>
    <t>31.13</t>
  </si>
  <si>
    <t>CUST_ID_115</t>
  </si>
  <si>
    <t>89.97</t>
  </si>
  <si>
    <t>97.39</t>
  </si>
  <si>
    <t>225.60</t>
  </si>
  <si>
    <t>CUST_ID_116</t>
  </si>
  <si>
    <t>1,568,700</t>
  </si>
  <si>
    <t>1,553,013</t>
  </si>
  <si>
    <t>862.79</t>
  </si>
  <si>
    <t>1,511,181</t>
  </si>
  <si>
    <t>1,313,042</t>
  </si>
  <si>
    <t>76.51</t>
  </si>
  <si>
    <t>114.22</t>
  </si>
  <si>
    <t>326.92</t>
  </si>
  <si>
    <t>CUST_ID_117</t>
  </si>
  <si>
    <t>CUST_ID_118</t>
  </si>
  <si>
    <t>292.84</t>
  </si>
  <si>
    <t>215.82</t>
  </si>
  <si>
    <t>90.96</t>
  </si>
  <si>
    <t>15.23</t>
  </si>
  <si>
    <t>1,796,550</t>
  </si>
  <si>
    <t>1,760,619</t>
  </si>
  <si>
    <t>978.24</t>
  </si>
  <si>
    <t>1,746,931</t>
  </si>
  <si>
    <t>CUST_ID_119</t>
  </si>
  <si>
    <t>13.43</t>
  </si>
  <si>
    <t>30.69</t>
  </si>
  <si>
    <t>CUST_ID_120</t>
  </si>
  <si>
    <t>34.74</t>
  </si>
  <si>
    <t>CUST_ID_121</t>
  </si>
  <si>
    <t>269.89</t>
  </si>
  <si>
    <t>508.03</t>
  </si>
  <si>
    <t>81.10</t>
  </si>
  <si>
    <t>1,034,550</t>
  </si>
  <si>
    <t>1,013,859</t>
  </si>
  <si>
    <t>563.30</t>
  </si>
  <si>
    <t>1,719,555</t>
  </si>
  <si>
    <t>CUST_ID_122</t>
  </si>
  <si>
    <t>334.30</t>
  </si>
  <si>
    <t>1,812,300</t>
  </si>
  <si>
    <t>1,776,054</t>
  </si>
  <si>
    <t>986.81</t>
  </si>
  <si>
    <t>1,265,158</t>
  </si>
  <si>
    <t>CUST_ID_123</t>
  </si>
  <si>
    <t>CUST_ID_124</t>
  </si>
  <si>
    <t>CUST_ID_125</t>
  </si>
  <si>
    <t>1,063,216</t>
  </si>
  <si>
    <t>1,008,700</t>
  </si>
  <si>
    <t>CUST_ID_126</t>
  </si>
  <si>
    <t>76.15</t>
  </si>
  <si>
    <t>CUST_ID_127</t>
  </si>
  <si>
    <t>323.69</t>
  </si>
  <si>
    <t>278.81</t>
  </si>
  <si>
    <t>24.23</t>
  </si>
  <si>
    <t>18.44</t>
  </si>
  <si>
    <t>CUST_ID_128</t>
  </si>
  <si>
    <t>514.52</t>
  </si>
  <si>
    <t>50.05</t>
  </si>
  <si>
    <t>200.50</t>
  </si>
  <si>
    <t>22.66</t>
  </si>
  <si>
    <t>13.29</t>
  </si>
  <si>
    <t>CUST_ID_129</t>
  </si>
  <si>
    <t>22.13</t>
  </si>
  <si>
    <t>156.05</t>
  </si>
  <si>
    <t>206.85</t>
  </si>
  <si>
    <t>1,314,450</t>
  </si>
  <si>
    <t>1,275,017</t>
  </si>
  <si>
    <t>708.44</t>
  </si>
  <si>
    <t>1,239,965</t>
  </si>
  <si>
    <t>215.10</t>
  </si>
  <si>
    <t>190.36</t>
  </si>
  <si>
    <t>15.94</t>
  </si>
  <si>
    <t>243.59</t>
  </si>
  <si>
    <t>1,535,850</t>
  </si>
  <si>
    <t>1,489,775</t>
  </si>
  <si>
    <t>827.60</t>
  </si>
  <si>
    <t>1,051,204</t>
  </si>
  <si>
    <t>22.30</t>
  </si>
  <si>
    <t>CUST_ID_130</t>
  </si>
  <si>
    <t>1,012,050</t>
  </si>
  <si>
    <t>545.33</t>
  </si>
  <si>
    <t>1,034,250</t>
  </si>
  <si>
    <t>1,003,223</t>
  </si>
  <si>
    <t>557.46</t>
  </si>
  <si>
    <t>74.70</t>
  </si>
  <si>
    <t>28.86</t>
  </si>
  <si>
    <t>1,091,250</t>
  </si>
  <si>
    <t>1,047,600</t>
  </si>
  <si>
    <t>582.05</t>
  </si>
  <si>
    <t>1,037,900</t>
  </si>
  <si>
    <t>92.06</t>
  </si>
  <si>
    <t>CUST_ID_131</t>
  </si>
  <si>
    <t>28.32</t>
  </si>
  <si>
    <t>1,003,950</t>
  </si>
  <si>
    <t>535.39</t>
  </si>
  <si>
    <t>1,033,050</t>
  </si>
  <si>
    <t>136.56</t>
  </si>
  <si>
    <t>28.57</t>
  </si>
  <si>
    <t>95.40</t>
  </si>
  <si>
    <t>407.38</t>
  </si>
  <si>
    <t>1,575,900</t>
  </si>
  <si>
    <t>1,512,864</t>
  </si>
  <si>
    <t>840.38</t>
  </si>
  <si>
    <t>1,470,840</t>
  </si>
  <si>
    <t>2,173,500</t>
  </si>
  <si>
    <t>2,086,560</t>
  </si>
  <si>
    <t>1,159.20</t>
  </si>
  <si>
    <t>2,036,880</t>
  </si>
  <si>
    <t>358.56</t>
  </si>
  <si>
    <t>39.82</t>
  </si>
  <si>
    <t>20.28</t>
  </si>
  <si>
    <t>CUST_ID_132</t>
  </si>
  <si>
    <t>16.88</t>
  </si>
  <si>
    <t>1,371,300</t>
  </si>
  <si>
    <t>1,316,448</t>
  </si>
  <si>
    <t>731.47</t>
  </si>
  <si>
    <t>1,174,950</t>
  </si>
  <si>
    <t>1,127,952</t>
  </si>
  <si>
    <t>626.64</t>
  </si>
  <si>
    <t>128.88</t>
  </si>
  <si>
    <t>1,201,200</t>
  </si>
  <si>
    <t>1,153,152</t>
  </si>
  <si>
    <t>640.75</t>
  </si>
  <si>
    <t>17.88</t>
  </si>
  <si>
    <t>27.71</t>
  </si>
  <si>
    <t>CUST_ID_133</t>
  </si>
  <si>
    <t>21.26</t>
  </si>
  <si>
    <t>29.70</t>
  </si>
  <si>
    <t>CUST_ID_134</t>
  </si>
  <si>
    <t>282.44</t>
  </si>
  <si>
    <t>39.77</t>
  </si>
  <si>
    <t>16.54</t>
  </si>
  <si>
    <t>460.35</t>
  </si>
  <si>
    <t>430.71</t>
  </si>
  <si>
    <t>26.70</t>
  </si>
  <si>
    <t>24.76</t>
  </si>
  <si>
    <t>355.30</t>
  </si>
  <si>
    <t>283.22</t>
  </si>
  <si>
    <t>458.00</t>
  </si>
  <si>
    <t>15.47</t>
  </si>
  <si>
    <t>200.17</t>
  </si>
  <si>
    <t>37.34</t>
  </si>
  <si>
    <t>102.24</t>
  </si>
  <si>
    <t>50.60</t>
  </si>
  <si>
    <t>CUST_ID_135</t>
  </si>
  <si>
    <t>40.77</t>
  </si>
  <si>
    <t>95.83</t>
  </si>
  <si>
    <t>53.81</t>
  </si>
  <si>
    <t>356.25</t>
  </si>
  <si>
    <t>448.88</t>
  </si>
  <si>
    <t>183.54</t>
  </si>
  <si>
    <t>53.59</t>
  </si>
  <si>
    <t>40.10</t>
  </si>
  <si>
    <t>CUST_ID_136</t>
  </si>
  <si>
    <t>28.62</t>
  </si>
  <si>
    <t>322.42</t>
  </si>
  <si>
    <t>480.34</t>
  </si>
  <si>
    <t>30.72</t>
  </si>
  <si>
    <t>492.18</t>
  </si>
  <si>
    <t>111.86</t>
  </si>
  <si>
    <t>323.71</t>
  </si>
  <si>
    <t>21.57</t>
  </si>
  <si>
    <t>CUST_ID_137</t>
  </si>
  <si>
    <t>CUST_ID_138</t>
  </si>
  <si>
    <t>233.53</t>
  </si>
  <si>
    <t>1,057,875</t>
  </si>
  <si>
    <t>552.39</t>
  </si>
  <si>
    <t>30.99</t>
  </si>
  <si>
    <t>24.58</t>
  </si>
  <si>
    <t>16.26</t>
  </si>
  <si>
    <t>18.82</t>
  </si>
  <si>
    <t>CUST_ID_139</t>
  </si>
  <si>
    <t>26.14</t>
  </si>
  <si>
    <t>CUST_ID_140</t>
  </si>
  <si>
    <t>17.60</t>
  </si>
  <si>
    <t>19.40</t>
  </si>
  <si>
    <t>1,109,325</t>
  </si>
  <si>
    <t>1,031,672</t>
  </si>
  <si>
    <t>573.21</t>
  </si>
  <si>
    <t>1,023,220</t>
  </si>
  <si>
    <t>CUST_ID_141</t>
  </si>
  <si>
    <t>124.99</t>
  </si>
  <si>
    <t>1,177,650</t>
  </si>
  <si>
    <t>1,095,215</t>
  </si>
  <si>
    <t>608.50</t>
  </si>
  <si>
    <t>1,084,747</t>
  </si>
  <si>
    <t>36.75</t>
  </si>
  <si>
    <t>1,079,513</t>
  </si>
  <si>
    <t>474.86</t>
  </si>
  <si>
    <t>408.39</t>
  </si>
  <si>
    <t>29.31</t>
  </si>
  <si>
    <t>28.55</t>
  </si>
  <si>
    <t>462.86</t>
  </si>
  <si>
    <t>242.61</t>
  </si>
  <si>
    <t>382.79</t>
  </si>
  <si>
    <t>CUST_ID_142</t>
  </si>
  <si>
    <t>36.21</t>
  </si>
  <si>
    <t>1,199,044</t>
  </si>
  <si>
    <t>-1,133,875</t>
  </si>
  <si>
    <t>267.56</t>
  </si>
  <si>
    <t>1,483,200</t>
  </si>
  <si>
    <t>1,379,376</t>
  </si>
  <si>
    <t>766.41</t>
  </si>
  <si>
    <t>1,015,168</t>
  </si>
  <si>
    <t>CUST_ID_143</t>
  </si>
  <si>
    <t>191.23</t>
  </si>
  <si>
    <t>1,811,775</t>
  </si>
  <si>
    <t>1,684,951</t>
  </si>
  <si>
    <t>936.14</t>
  </si>
  <si>
    <t>1,104,320</t>
  </si>
  <si>
    <t>CUST_ID_144</t>
  </si>
  <si>
    <t>23.59</t>
  </si>
  <si>
    <t>177.10</t>
  </si>
  <si>
    <t>438.56</t>
  </si>
  <si>
    <t>CUST_ID_145</t>
  </si>
  <si>
    <t>34.51</t>
  </si>
  <si>
    <t>431.11</t>
  </si>
  <si>
    <t>128.11</t>
  </si>
  <si>
    <t>25.13</t>
  </si>
  <si>
    <t>1,328,400</t>
  </si>
  <si>
    <t>1,222,128</t>
  </si>
  <si>
    <t>678.96</t>
  </si>
  <si>
    <t>1,186,704</t>
  </si>
  <si>
    <t>35.59</t>
  </si>
  <si>
    <t>55.07</t>
  </si>
  <si>
    <t>18.72</t>
  </si>
  <si>
    <t>175.26</t>
  </si>
  <si>
    <t>184.99</t>
  </si>
  <si>
    <t>122.68</t>
  </si>
  <si>
    <t>135.88</t>
  </si>
  <si>
    <t>1,152,450</t>
  </si>
  <si>
    <t>1,060,254</t>
  </si>
  <si>
    <t>588.98</t>
  </si>
  <si>
    <t>1,116,160</t>
  </si>
  <si>
    <t>-1,080,861</t>
  </si>
  <si>
    <t>27.97</t>
  </si>
  <si>
    <t>CUST_ID_146</t>
  </si>
  <si>
    <t>298.66</t>
  </si>
  <si>
    <t>2,053,350</t>
  </si>
  <si>
    <t>1,868,549</t>
  </si>
  <si>
    <t>1,038.08</t>
  </si>
  <si>
    <t>1,841,171</t>
  </si>
  <si>
    <t>1,049,475</t>
  </si>
  <si>
    <t>530.62</t>
  </si>
  <si>
    <t>25.35</t>
  </si>
  <si>
    <t>318.16</t>
  </si>
  <si>
    <t>1,385,100</t>
  </si>
  <si>
    <t>1,260,441</t>
  </si>
  <si>
    <t>700.25</t>
  </si>
  <si>
    <t>1,223,505</t>
  </si>
  <si>
    <t>1,522,500</t>
  </si>
  <si>
    <t>1,385,475</t>
  </si>
  <si>
    <t>769.81</t>
  </si>
  <si>
    <t>1,350,675</t>
  </si>
  <si>
    <t>50.16</t>
  </si>
  <si>
    <t>16.75</t>
  </si>
  <si>
    <t>361.45</t>
  </si>
  <si>
    <t>2,048,400</t>
  </si>
  <si>
    <t>1,864,044</t>
  </si>
  <si>
    <t>1,035.63</t>
  </si>
  <si>
    <t>1,190,348</t>
  </si>
  <si>
    <t>416.28</t>
  </si>
  <si>
    <t>64.50</t>
  </si>
  <si>
    <t>240.01</t>
  </si>
  <si>
    <t>404.18</t>
  </si>
  <si>
    <t>CUST_ID_147</t>
  </si>
  <si>
    <t>21.36</t>
  </si>
  <si>
    <t>1,435,950</t>
  </si>
  <si>
    <t>1,306,715</t>
  </si>
  <si>
    <t>725.91</t>
  </si>
  <si>
    <t>430.45</t>
  </si>
  <si>
    <t>1,008,000</t>
  </si>
  <si>
    <t>509.69</t>
  </si>
  <si>
    <t>99.76</t>
  </si>
  <si>
    <t>1,304,625</t>
  </si>
  <si>
    <t>1,187,209</t>
  </si>
  <si>
    <t>659.61</t>
  </si>
  <si>
    <t>30.83</t>
  </si>
  <si>
    <t>17.25</t>
  </si>
  <si>
    <t>17.71</t>
  </si>
  <si>
    <t>18.89</t>
  </si>
  <si>
    <t>21.48</t>
  </si>
  <si>
    <t>35.87</t>
  </si>
  <si>
    <t>22.26</t>
  </si>
  <si>
    <t>14.67</t>
  </si>
  <si>
    <t>387.62</t>
  </si>
  <si>
    <t>1,457,400</t>
  </si>
  <si>
    <t>1,311,660</t>
  </si>
  <si>
    <t>728.60</t>
  </si>
  <si>
    <t>1,295,004</t>
  </si>
  <si>
    <t>35.17</t>
  </si>
  <si>
    <t>159.57</t>
  </si>
  <si>
    <t>201.29</t>
  </si>
  <si>
    <t>179.55</t>
  </si>
  <si>
    <t>16.79</t>
  </si>
  <si>
    <t>230.31</t>
  </si>
  <si>
    <t>38.36</t>
  </si>
  <si>
    <t>1,768,200</t>
  </si>
  <si>
    <t>1,591,380</t>
  </si>
  <si>
    <t>884.21</t>
  </si>
  <si>
    <t>1,037,344</t>
  </si>
  <si>
    <t>116.64</t>
  </si>
  <si>
    <t>284.51</t>
  </si>
  <si>
    <t>CUST_ID_148</t>
  </si>
  <si>
    <t>65.14</t>
  </si>
  <si>
    <t>1,411,200</t>
  </si>
  <si>
    <t>1,270,080</t>
  </si>
  <si>
    <t>705.60</t>
  </si>
  <si>
    <t>1,616,400</t>
  </si>
  <si>
    <t>1,454,760</t>
  </si>
  <si>
    <t>808.11</t>
  </si>
  <si>
    <t>1,149,440</t>
  </si>
  <si>
    <t>38.02</t>
  </si>
  <si>
    <t>1,352,000</t>
  </si>
  <si>
    <t>-1,283,555</t>
  </si>
  <si>
    <t>36.70</t>
  </si>
  <si>
    <t>27.80</t>
  </si>
  <si>
    <t>222.71</t>
  </si>
  <si>
    <t>CUST_ID_149</t>
  </si>
  <si>
    <t>15.77</t>
  </si>
  <si>
    <t>42.71</t>
  </si>
  <si>
    <t>1,228,480</t>
  </si>
  <si>
    <t>-1,149,896</t>
  </si>
  <si>
    <t>20.69</t>
  </si>
  <si>
    <t>246.71</t>
  </si>
  <si>
    <t>1,517,850</t>
  </si>
  <si>
    <t>1,350,887</t>
  </si>
  <si>
    <t>750.54</t>
  </si>
  <si>
    <t>1,337,395</t>
  </si>
  <si>
    <t>271.56</t>
  </si>
  <si>
    <t>238.61</t>
  </si>
  <si>
    <t>28.80</t>
  </si>
  <si>
    <t>233.09</t>
  </si>
  <si>
    <t>19.97</t>
  </si>
  <si>
    <t>1,325,625</t>
  </si>
  <si>
    <t>1,179,806</t>
  </si>
  <si>
    <t>655.55</t>
  </si>
  <si>
    <t>1,149,506</t>
  </si>
  <si>
    <t>43.00</t>
  </si>
  <si>
    <t>25.90</t>
  </si>
  <si>
    <t>42.61</t>
  </si>
  <si>
    <t>26.49</t>
  </si>
  <si>
    <t>364.72</t>
  </si>
  <si>
    <t>18.52</t>
  </si>
  <si>
    <t>61.63</t>
  </si>
  <si>
    <t>352.11</t>
  </si>
  <si>
    <t>1,215,360</t>
  </si>
  <si>
    <t>46.80</t>
  </si>
  <si>
    <t>1,009,600</t>
  </si>
  <si>
    <t>159.42</t>
  </si>
  <si>
    <t>272.89</t>
  </si>
  <si>
    <t>237.16</t>
  </si>
  <si>
    <t>35.49</t>
  </si>
  <si>
    <t>468.07</t>
  </si>
  <si>
    <t>14.91</t>
  </si>
  <si>
    <t>16.84</t>
  </si>
  <si>
    <t>1,887,300</t>
  </si>
  <si>
    <t>1,660,824</t>
  </si>
  <si>
    <t>922.68</t>
  </si>
  <si>
    <t>1,610,496</t>
  </si>
  <si>
    <t>15.93</t>
  </si>
  <si>
    <t>1,004,325</t>
  </si>
  <si>
    <t>490.95</t>
  </si>
  <si>
    <t>358.78</t>
  </si>
  <si>
    <t>1,161,000</t>
  </si>
  <si>
    <t>1,021,680</t>
  </si>
  <si>
    <t>567.60</t>
  </si>
  <si>
    <t>368.68</t>
  </si>
  <si>
    <t>21.70</t>
  </si>
  <si>
    <t>429.66</t>
  </si>
  <si>
    <t>303.69</t>
  </si>
  <si>
    <t>22.27</t>
  </si>
  <si>
    <t>51.14</t>
  </si>
  <si>
    <t>1,431,892</t>
  </si>
  <si>
    <t>-1,337,796</t>
  </si>
  <si>
    <t>262.57</t>
  </si>
  <si>
    <t>83.16</t>
  </si>
  <si>
    <t>1,313,920</t>
  </si>
  <si>
    <t>-1,274,174</t>
  </si>
  <si>
    <t>1,049,920</t>
  </si>
  <si>
    <t>-1,018,160</t>
  </si>
  <si>
    <t>44.38</t>
  </si>
  <si>
    <t>26.95</t>
  </si>
  <si>
    <t>33.50</t>
  </si>
  <si>
    <t>281.05</t>
  </si>
  <si>
    <t>1,127,700</t>
  </si>
  <si>
    <t>545.06</t>
  </si>
  <si>
    <t>299.17</t>
  </si>
  <si>
    <t>39.24</t>
  </si>
  <si>
    <t>21.73</t>
  </si>
  <si>
    <t>210.63</t>
  </si>
  <si>
    <t>45.95</t>
  </si>
  <si>
    <t>47.12</t>
  </si>
  <si>
    <t>1,657,950</t>
  </si>
  <si>
    <t>1,442,417</t>
  </si>
  <si>
    <t>801.44</t>
  </si>
  <si>
    <t>1,404,521</t>
  </si>
  <si>
    <t>172.15</t>
  </si>
  <si>
    <t>16.42</t>
  </si>
  <si>
    <t>20.42</t>
  </si>
  <si>
    <t>108.71</t>
  </si>
  <si>
    <t>CUST_ID_150</t>
  </si>
  <si>
    <t>52.17</t>
  </si>
  <si>
    <t>180.42</t>
  </si>
  <si>
    <t>44.36</t>
  </si>
  <si>
    <t>29.98</t>
  </si>
  <si>
    <t>41.76</t>
  </si>
  <si>
    <t>22.79</t>
  </si>
  <si>
    <t>14.38</t>
  </si>
  <si>
    <t>206.66</t>
  </si>
  <si>
    <t>385.97</t>
  </si>
  <si>
    <t>260.58</t>
  </si>
  <si>
    <t>19.52</t>
  </si>
  <si>
    <t>29.67</t>
  </si>
  <si>
    <t>1,403,325</t>
  </si>
  <si>
    <t>1,206,860</t>
  </si>
  <si>
    <t>670.48</t>
  </si>
  <si>
    <t>1,190,822</t>
  </si>
  <si>
    <t>360.90</t>
  </si>
  <si>
    <t>60.20</t>
  </si>
  <si>
    <t>210.70</t>
  </si>
  <si>
    <t>354.28</t>
  </si>
  <si>
    <t>169.31</t>
  </si>
  <si>
    <t>1,142,424</t>
  </si>
  <si>
    <t>1,073,072</t>
  </si>
  <si>
    <t>-1,040,113</t>
  </si>
  <si>
    <t>1,372,050</t>
  </si>
  <si>
    <t>1,179,963</t>
  </si>
  <si>
    <t>1,092,160</t>
  </si>
  <si>
    <t>1,119,040</t>
  </si>
  <si>
    <t>-1,064,906</t>
  </si>
  <si>
    <t>1,796,025</t>
  </si>
  <si>
    <t>1,526,621</t>
  </si>
  <si>
    <t>1,485,569</t>
  </si>
  <si>
    <t>1,336,500</t>
  </si>
  <si>
    <t>1,136,025</t>
  </si>
  <si>
    <t>Budget</t>
  </si>
  <si>
    <t>£18,300,908</t>
  </si>
  <si>
    <t>£23,544,303</t>
  </si>
  <si>
    <t>£21,303,974</t>
  </si>
  <si>
    <t>£10,611,142</t>
  </si>
  <si>
    <t>£14,661,451</t>
  </si>
  <si>
    <t>£22,614,104</t>
  </si>
  <si>
    <t>£18,334,867</t>
  </si>
  <si>
    <t>£20,514,113</t>
  </si>
  <si>
    <t>£20,199,830</t>
  </si>
  <si>
    <t>£12,194,030</t>
  </si>
  <si>
    <t>£12,337,191</t>
  </si>
  <si>
    <t>£15,522,499</t>
  </si>
  <si>
    <t>£210,138,410</t>
  </si>
  <si>
    <t>KPIs</t>
  </si>
  <si>
    <t>Target</t>
  </si>
  <si>
    <t>Revenue</t>
  </si>
  <si>
    <t>£60,429,310</t>
  </si>
  <si>
    <t>Profit Margin</t>
  </si>
  <si>
    <t>28.76%</t>
  </si>
  <si>
    <t>Unit Sold</t>
  </si>
  <si>
    <t>1,420,956</t>
  </si>
  <si>
    <t>Row Labels</t>
  </si>
  <si>
    <t>Grand Total</t>
  </si>
  <si>
    <t>Sum of Net Sales</t>
  </si>
  <si>
    <t>Product name</t>
  </si>
  <si>
    <t>Sum of Profit</t>
  </si>
  <si>
    <t>PROFIT</t>
  </si>
  <si>
    <t>UNIT SOLD</t>
  </si>
  <si>
    <t>Sum of Units Sold</t>
  </si>
  <si>
    <t>Actual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</si>
</sst>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_-[$£-809]* #,##0.00_-;\-[$£-809]* #,##0.00_-;_-[$£-809]* &quot;-&quot;??_-;_-@_-"/>
    <numFmt numFmtId="166" formatCode="_-* #,##0.00\ _₼_-;\-* #,##0.00\ _₼_-;_-* &quot;-&quot;??\ _₼_-;_-@_-"/>
    <numFmt numFmtId="171" formatCode="0.0"/>
    <numFmt numFmtId="172" formatCode="0.000"/>
  </numFmts>
  <fonts count="8" x14ac:knownFonts="1">
    <font>
      <sz val="11"/>
      <color theme="1"/>
      <name val="Calibri"/>
      <family val="2"/>
      <charset val="186"/>
      <scheme val="minor"/>
    </font>
    <font>
      <b/>
      <sz val="11"/>
      <color theme="1"/>
      <name val="Calibri"/>
      <family val="2"/>
      <charset val="204"/>
      <scheme val="minor"/>
    </font>
    <font>
      <sz val="11"/>
      <color theme="1"/>
      <name val="Calibri"/>
      <family val="2"/>
      <charset val="204"/>
      <scheme val="minor"/>
    </font>
    <font>
      <b/>
      <i/>
      <sz val="11"/>
      <color theme="1"/>
      <name val="Calibri"/>
      <family val="2"/>
      <charset val="204"/>
      <scheme val="minor"/>
    </font>
    <font>
      <sz val="20"/>
      <color theme="1"/>
      <name val="Times New Roman"/>
      <family val="1"/>
      <charset val="204"/>
    </font>
    <font>
      <b/>
      <sz val="20"/>
      <color theme="1"/>
      <name val="Times New Roman"/>
      <family val="1"/>
      <charset val="204"/>
    </font>
    <font>
      <b/>
      <sz val="11"/>
      <color theme="1"/>
      <name val="Calibri"/>
      <family val="2"/>
      <charset val="186"/>
      <scheme val="minor"/>
    </font>
    <font>
      <sz val="11"/>
      <color theme="0"/>
      <name val="Calibri"/>
      <family val="2"/>
      <charset val="186"/>
      <scheme val="minor"/>
    </font>
  </fonts>
  <fills count="5">
    <fill>
      <patternFill patternType="none"/>
    </fill>
    <fill>
      <patternFill patternType="gray125"/>
    </fill>
    <fill>
      <patternFill patternType="solid">
        <fgColor rgb="FFB4C6E7"/>
        <bgColor indexed="64"/>
      </patternFill>
    </fill>
    <fill>
      <patternFill patternType="solid">
        <fgColor theme="1"/>
        <bgColor indexed="64"/>
      </patternFill>
    </fill>
    <fill>
      <patternFill patternType="solid">
        <fgColor theme="1" tint="0.249977111117893"/>
        <bgColor indexed="64"/>
      </patternFill>
    </fill>
  </fills>
  <borders count="3">
    <border>
      <left/>
      <right/>
      <top/>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0" fontId="1" fillId="2" borderId="1" xfId="0" applyFont="1" applyFill="1" applyBorder="1" applyAlignment="1">
      <alignment wrapText="1"/>
    </xf>
    <xf numFmtId="0" fontId="2" fillId="0" borderId="1" xfId="0" applyFont="1" applyBorder="1" applyAlignment="1">
      <alignment wrapText="1"/>
    </xf>
    <xf numFmtId="14" fontId="2" fillId="0" borderId="1" xfId="0" applyNumberFormat="1" applyFont="1" applyBorder="1" applyAlignment="1">
      <alignment horizontal="right" wrapText="1"/>
    </xf>
    <xf numFmtId="0" fontId="2" fillId="0" borderId="1" xfId="0" applyFont="1" applyBorder="1" applyAlignment="1">
      <alignment horizontal="right" wrapText="1"/>
    </xf>
    <xf numFmtId="17" fontId="2" fillId="0" borderId="1" xfId="0" applyNumberFormat="1" applyFont="1" applyBorder="1" applyAlignment="1">
      <alignment horizontal="right" wrapText="1"/>
    </xf>
    <xf numFmtId="16" fontId="2" fillId="0" borderId="1" xfId="0" applyNumberFormat="1" applyFont="1" applyBorder="1" applyAlignment="1">
      <alignment horizontal="right" wrapText="1"/>
    </xf>
    <xf numFmtId="0" fontId="1" fillId="0" borderId="1" xfId="0" applyFont="1" applyBorder="1" applyAlignment="1">
      <alignment horizontal="right" wrapText="1"/>
    </xf>
    <xf numFmtId="0" fontId="1" fillId="0" borderId="1" xfId="0" applyFont="1" applyBorder="1" applyAlignment="1">
      <alignment wrapText="1"/>
    </xf>
    <xf numFmtId="0" fontId="0" fillId="0" borderId="0" xfId="0" pivotButton="1"/>
    <xf numFmtId="0" fontId="0" fillId="0" borderId="0" xfId="0" applyAlignment="1">
      <alignment horizontal="left"/>
    </xf>
    <xf numFmtId="2" fontId="1" fillId="2" borderId="1" xfId="0" applyNumberFormat="1" applyFont="1" applyFill="1" applyBorder="1" applyAlignment="1">
      <alignment wrapText="1"/>
    </xf>
    <xf numFmtId="2" fontId="2" fillId="0" borderId="1" xfId="0" applyNumberFormat="1" applyFont="1" applyBorder="1" applyAlignment="1">
      <alignment horizontal="right" wrapText="1"/>
    </xf>
    <xf numFmtId="2" fontId="0" fillId="0" borderId="0" xfId="0" applyNumberFormat="1"/>
    <xf numFmtId="164" fontId="0" fillId="0" borderId="0" xfId="0" applyNumberFormat="1"/>
    <xf numFmtId="0" fontId="3" fillId="0" borderId="0" xfId="0" applyFont="1"/>
    <xf numFmtId="0" fontId="4" fillId="0" borderId="2" xfId="0" applyFont="1" applyBorder="1"/>
    <xf numFmtId="0" fontId="5" fillId="0" borderId="2" xfId="0" applyFont="1" applyBorder="1"/>
    <xf numFmtId="0" fontId="0" fillId="0" borderId="2" xfId="0" applyBorder="1"/>
    <xf numFmtId="10" fontId="5" fillId="0" borderId="2" xfId="0" applyNumberFormat="1" applyFont="1" applyBorder="1"/>
    <xf numFmtId="0" fontId="3" fillId="0" borderId="0" xfId="0" applyFont="1" applyAlignment="1">
      <alignment horizontal="center"/>
    </xf>
    <xf numFmtId="0" fontId="0" fillId="0" borderId="0" xfId="0" applyAlignment="1">
      <alignment horizontal="center"/>
    </xf>
    <xf numFmtId="166" fontId="0" fillId="0" borderId="0" xfId="0" applyNumberFormat="1"/>
    <xf numFmtId="2" fontId="0" fillId="0" borderId="2" xfId="0" applyNumberFormat="1" applyBorder="1"/>
    <xf numFmtId="0" fontId="7" fillId="3" borderId="2" xfId="0" applyFont="1" applyFill="1" applyBorder="1"/>
    <xf numFmtId="2" fontId="7" fillId="3" borderId="2" xfId="0" applyNumberFormat="1" applyFont="1" applyFill="1" applyBorder="1"/>
    <xf numFmtId="10" fontId="6" fillId="0" borderId="0" xfId="0" applyNumberFormat="1" applyFont="1"/>
    <xf numFmtId="0" fontId="0" fillId="4" borderId="0" xfId="0" applyFont="1" applyFill="1"/>
    <xf numFmtId="0" fontId="0" fillId="4" borderId="0" xfId="0" applyFill="1"/>
    <xf numFmtId="171" fontId="0" fillId="0" borderId="0" xfId="0" applyNumberFormat="1"/>
    <xf numFmtId="172" fontId="0" fillId="0" borderId="0" xfId="0" applyNumberFormat="1"/>
  </cellXfs>
  <cellStyles count="1">
    <cellStyle name="Normal" xfId="0" builtinId="0"/>
  </cellStyles>
  <dxfs count="657">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font>
        <b/>
        <color theme="1"/>
      </font>
      <border>
        <bottom style="thin">
          <color theme="5"/>
        </bottom>
        <vertical/>
        <horizontal/>
      </border>
    </dxf>
    <dxf>
      <font>
        <color theme="1"/>
        <name val="Calibri"/>
        <family val="2"/>
        <charset val="204"/>
        <scheme val="minor"/>
      </font>
      <border diagonalUp="0" diagonalDown="0">
        <left/>
        <right/>
        <top/>
        <bottom/>
        <vertical/>
        <horizontal/>
      </border>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font>
        <b/>
        <color theme="1"/>
      </font>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s>
  <tableStyles count="2" defaultTableStyle="TableStyleMedium2" defaultPivotStyle="PivotStyleLight16">
    <tableStyle name="customs2" pivot="0" table="0" count="10" xr9:uid="{8D50FA0B-81EF-447D-938E-F16185751D43}">
      <tableStyleElement type="wholeTable" dxfId="401"/>
      <tableStyleElement type="headerRow" dxfId="400"/>
    </tableStyle>
    <tableStyle name="SlicerStyleLight2 2" pivot="0" table="0" count="10" xr9:uid="{266AEE0B-DD1C-4EBA-BFCC-D99B2F289D58}">
      <tableStyleElement type="wholeTable" dxfId="646"/>
      <tableStyleElement type="headerRow" dxfId="645"/>
    </tableStyle>
  </tableStyles>
  <extLst>
    <ext xmlns:x14="http://schemas.microsoft.com/office/spreadsheetml/2009/9/main" uri="{46F421CA-312F-682f-3DD2-61675219B42D}">
      <x14:dxfs count="4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5" tint="0.59999389629810485"/>
              <bgColor theme="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0"/>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0"/>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0"/>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5117038483843"/>
              <bgColor theme="5"/>
            </patternFill>
          </fill>
          <border diagonalUp="0" diagonalDown="0">
            <left/>
            <right/>
            <top/>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customs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StyleLight2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MM</a:t>
            </a:r>
            <a:endParaRPr lang="az-Latn-AZ"/>
          </a:p>
        </c:rich>
      </c:tx>
      <c:layout>
        <c:manualLayout>
          <c:xMode val="edge"/>
          <c:yMode val="edge"/>
          <c:x val="2.5083333333333329E-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z-Latn-AZ"/>
        </a:p>
      </c:txPr>
    </c:title>
    <c:autoTitleDeleted val="0"/>
    <c:plotArea>
      <c:layout>
        <c:manualLayout>
          <c:layoutTarget val="inner"/>
          <c:xMode val="edge"/>
          <c:yMode val="edge"/>
          <c:x val="8.8831146106736675E-2"/>
          <c:y val="0.22141714168985038"/>
          <c:w val="0.86394663167104113"/>
          <c:h val="0.63807124375012159"/>
        </c:manualLayout>
      </c:layout>
      <c:lineChart>
        <c:grouping val="standard"/>
        <c:varyColors val="0"/>
        <c:ser>
          <c:idx val="0"/>
          <c:order val="0"/>
          <c:tx>
            <c:strRef>
              <c:f>Analysis!$M$4</c:f>
              <c:strCache>
                <c:ptCount val="1"/>
                <c:pt idx="0">
                  <c:v>Actual</c:v>
                </c:pt>
              </c:strCache>
            </c:strRef>
          </c:tx>
          <c:spPr>
            <a:ln w="28575" cap="rnd">
              <a:solidFill>
                <a:schemeClr val="accent1"/>
              </a:solidFill>
              <a:round/>
            </a:ln>
            <a:effectLst/>
          </c:spPr>
          <c:marker>
            <c:symbol val="none"/>
          </c:marker>
          <c:dLbls>
            <c:dLbl>
              <c:idx val="11"/>
              <c:dLblPos val="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5-27EA-43C2-8D48-791367C7727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Analysis!$L$5:$L$16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Analysis!$M$5:$M$16</c:f>
              <c:numCache>
                <c:formatCode>0.00</c:formatCode>
                <c:ptCount val="12"/>
                <c:pt idx="0">
                  <c:v>12734.705000000002</c:v>
                </c:pt>
                <c:pt idx="1">
                  <c:v>11408.101999999999</c:v>
                </c:pt>
                <c:pt idx="2">
                  <c:v>5961.393</c:v>
                </c:pt>
                <c:pt idx="3">
                  <c:v>10336.968000000001</c:v>
                </c:pt>
                <c:pt idx="4">
                  <c:v>10306.450999999995</c:v>
                </c:pt>
                <c:pt idx="5">
                  <c:v>10935.367999999999</c:v>
                </c:pt>
                <c:pt idx="6">
                  <c:v>11102.754000000001</c:v>
                </c:pt>
                <c:pt idx="7">
                  <c:v>8161.5519999999988</c:v>
                </c:pt>
                <c:pt idx="8">
                  <c:v>6882.8570000000009</c:v>
                </c:pt>
                <c:pt idx="9">
                  <c:v>10989.934000000001</c:v>
                </c:pt>
                <c:pt idx="10">
                  <c:v>8667.3659999999963</c:v>
                </c:pt>
                <c:pt idx="11">
                  <c:v>10456.425999999999</c:v>
                </c:pt>
              </c:numCache>
            </c:numRef>
          </c:val>
          <c:smooth val="0"/>
          <c:extLst>
            <c:ext xmlns:c16="http://schemas.microsoft.com/office/drawing/2014/chart" uri="{C3380CC4-5D6E-409C-BE32-E72D297353CC}">
              <c16:uniqueId val="{00000000-27EA-43C2-8D48-791367C7727C}"/>
            </c:ext>
          </c:extLst>
        </c:ser>
        <c:ser>
          <c:idx val="1"/>
          <c:order val="1"/>
          <c:tx>
            <c:strRef>
              <c:f>Analysis!$N$4</c:f>
              <c:strCache>
                <c:ptCount val="1"/>
                <c:pt idx="0">
                  <c:v>Budget</c:v>
                </c:pt>
              </c:strCache>
            </c:strRef>
          </c:tx>
          <c:spPr>
            <a:ln w="28575" cap="rnd">
              <a:solidFill>
                <a:schemeClr val="accent2"/>
              </a:solidFill>
              <a:round/>
            </a:ln>
            <a:effectLst/>
          </c:spPr>
          <c:marker>
            <c:symbol val="none"/>
          </c:marker>
          <c:dLbls>
            <c:dLbl>
              <c:idx val="11"/>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az-Latn-AZ"/>
                </a:p>
              </c:txPr>
              <c:dLblPos val="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6-27EA-43C2-8D48-791367C7727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Analysis!$L$5:$L$16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Analysis!$N$5:$N$16</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27EA-43C2-8D48-791367C7727C}"/>
            </c:ext>
          </c:extLst>
        </c:ser>
        <c:ser>
          <c:idx val="2"/>
          <c:order val="2"/>
          <c:tx>
            <c:strRef>
              <c:f>Analysis!$O$4</c:f>
              <c:strCache>
                <c:ptCount val="1"/>
                <c:pt idx="0">
                  <c:v>Actual</c:v>
                </c:pt>
              </c:strCache>
            </c:strRef>
          </c:tx>
          <c:spPr>
            <a:ln w="28575" cap="rnd">
              <a:solidFill>
                <a:schemeClr val="accent3"/>
              </a:solidFill>
              <a:round/>
            </a:ln>
            <a:effectLst/>
          </c:spPr>
          <c:marker>
            <c:symbol val="none"/>
          </c:marker>
          <c:val>
            <c:numRef>
              <c:f>Analysis!$O$16</c:f>
              <c:numCache>
                <c:formatCode>0.00</c:formatCode>
                <c:ptCount val="1"/>
                <c:pt idx="0">
                  <c:v>10456.425999999999</c:v>
                </c:pt>
              </c:numCache>
            </c:numRef>
          </c:val>
          <c:smooth val="0"/>
          <c:extLst>
            <c:ext xmlns:c16="http://schemas.microsoft.com/office/drawing/2014/chart" uri="{C3380CC4-5D6E-409C-BE32-E72D297353CC}">
              <c16:uniqueId val="{00000002-27EA-43C2-8D48-791367C7727C}"/>
            </c:ext>
          </c:extLst>
        </c:ser>
        <c:ser>
          <c:idx val="3"/>
          <c:order val="3"/>
          <c:tx>
            <c:strRef>
              <c:f>Analysis!$P$4</c:f>
              <c:strCache>
                <c:ptCount val="1"/>
                <c:pt idx="0">
                  <c:v>Budget</c:v>
                </c:pt>
              </c:strCache>
            </c:strRef>
          </c:tx>
          <c:spPr>
            <a:ln w="28575" cap="rnd">
              <a:solidFill>
                <a:schemeClr val="accent4"/>
              </a:solidFill>
              <a:round/>
            </a:ln>
            <a:effectLst/>
          </c:spPr>
          <c:marker>
            <c:symbol val="none"/>
          </c:marker>
          <c:val>
            <c:numRef>
              <c:f>Analysis!$P$16</c:f>
              <c:numCache>
                <c:formatCode>0.00</c:formatCode>
                <c:ptCount val="1"/>
                <c:pt idx="0">
                  <c:v>0</c:v>
                </c:pt>
              </c:numCache>
            </c:numRef>
          </c:val>
          <c:smooth val="0"/>
          <c:extLst>
            <c:ext xmlns:c16="http://schemas.microsoft.com/office/drawing/2014/chart" uri="{C3380CC4-5D6E-409C-BE32-E72D297353CC}">
              <c16:uniqueId val="{00000003-27EA-43C2-8D48-791367C7727C}"/>
            </c:ext>
          </c:extLst>
        </c:ser>
        <c:dLbls>
          <c:showLegendKey val="0"/>
          <c:showVal val="0"/>
          <c:showCatName val="0"/>
          <c:showSerName val="0"/>
          <c:showPercent val="0"/>
          <c:showBubbleSize val="0"/>
        </c:dLbls>
        <c:smooth val="0"/>
        <c:axId val="1060083935"/>
        <c:axId val="1060082271"/>
      </c:lineChart>
      <c:catAx>
        <c:axId val="1060083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z-Latn-AZ"/>
          </a:p>
        </c:txPr>
        <c:crossAx val="1060082271"/>
        <c:crosses val="autoZero"/>
        <c:auto val="1"/>
        <c:lblAlgn val="ctr"/>
        <c:lblOffset val="100"/>
        <c:noMultiLvlLbl val="0"/>
      </c:catAx>
      <c:valAx>
        <c:axId val="1060082271"/>
        <c:scaling>
          <c:orientation val="minMax"/>
        </c:scaling>
        <c:delete val="0"/>
        <c:axPos val="l"/>
        <c:numFmt formatCode="0.00" sourceLinked="1"/>
        <c:majorTickMark val="none"/>
        <c:minorTickMark val="none"/>
        <c:tickLblPos val="nextTo"/>
        <c:spPr>
          <a:noFill/>
          <a:ln>
            <a:solidFill>
              <a:schemeClr val="lt1">
                <a:shade val="50000"/>
                <a:alpha val="94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z-Latn-AZ"/>
          </a:p>
        </c:txPr>
        <c:crossAx val="1060083935"/>
        <c:crosses val="autoZero"/>
        <c:crossBetween val="between"/>
        <c:dispUnits>
          <c:builtInUnit val="tenThousands"/>
        </c:dispUnits>
      </c:valAx>
      <c:spPr>
        <a:noFill/>
        <a:ln>
          <a:noFill/>
        </a:ln>
        <a:effectLst/>
      </c:spPr>
    </c:plotArea>
    <c:plotVisOnly val="1"/>
    <c:dispBlanksAs val="gap"/>
    <c:showDLblsOverMax val="0"/>
  </c:chart>
  <c:spPr>
    <a:noFill/>
    <a:ln w="9525" cap="flat" cmpd="sng" algn="ctr">
      <a:noFill/>
      <a:round/>
    </a:ln>
    <a:effectLst/>
  </c:spPr>
  <c:txPr>
    <a:bodyPr/>
    <a:lstStyle/>
    <a:p>
      <a:pPr>
        <a:defRPr/>
      </a:pPr>
      <a:endParaRPr lang="az-Latn-AZ"/>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[Elcan Musayev yeni dashboard.xlsx]Analysis!PivotTable2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72000" tIns="19050" rIns="1080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az-Latn-AZ"/>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barChart>
        <c:barDir val="col"/>
        <c:grouping val="clustered"/>
        <c:varyColors val="0"/>
        <c:ser>
          <c:idx val="0"/>
          <c:order val="0"/>
          <c:tx>
            <c:strRef>
              <c:f>Analysis!$E$3</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72000" tIns="19050" rIns="1080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az-Latn-AZ"/>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Analysis!$D$4:$D$12</c:f>
              <c:strCache>
                <c:ptCount val="8"/>
                <c:pt idx="0">
                  <c:v>Canada</c:v>
                </c:pt>
                <c:pt idx="1">
                  <c:v>England</c:v>
                </c:pt>
                <c:pt idx="2">
                  <c:v>France</c:v>
                </c:pt>
                <c:pt idx="3">
                  <c:v>Germany</c:v>
                </c:pt>
                <c:pt idx="4">
                  <c:v>India</c:v>
                </c:pt>
                <c:pt idx="5">
                  <c:v>Italy</c:v>
                </c:pt>
                <c:pt idx="6">
                  <c:v>Japan</c:v>
                </c:pt>
                <c:pt idx="7">
                  <c:v>USA</c:v>
                </c:pt>
              </c:strCache>
            </c:strRef>
          </c:cat>
          <c:val>
            <c:numRef>
              <c:f>Analysis!$E$4:$E$12</c:f>
              <c:numCache>
                <c:formatCode>_-[$£-809]* #,##0.00_-;\-[$£-809]* #,##0.00_-;_-[$£-809]* "-"??_-;_-@_-</c:formatCode>
                <c:ptCount val="8"/>
                <c:pt idx="0">
                  <c:v>13485.656999999997</c:v>
                </c:pt>
                <c:pt idx="1">
                  <c:v>14649.515000000003</c:v>
                </c:pt>
                <c:pt idx="2">
                  <c:v>10781.288000000002</c:v>
                </c:pt>
                <c:pt idx="3">
                  <c:v>18164.175999999999</c:v>
                </c:pt>
                <c:pt idx="4">
                  <c:v>15520.059000000003</c:v>
                </c:pt>
                <c:pt idx="5">
                  <c:v>15582.741999999998</c:v>
                </c:pt>
                <c:pt idx="6">
                  <c:v>16333.315999999999</c:v>
                </c:pt>
                <c:pt idx="7">
                  <c:v>13427.122999999998</c:v>
                </c:pt>
              </c:numCache>
            </c:numRef>
          </c:val>
          <c:extLst>
            <c:ext xmlns:c16="http://schemas.microsoft.com/office/drawing/2014/chart" uri="{C3380CC4-5D6E-409C-BE32-E72D297353CC}">
              <c16:uniqueId val="{00000000-B8CA-4D75-A627-8C3F2A2800AE}"/>
            </c:ext>
          </c:extLst>
        </c:ser>
        <c:dLbls>
          <c:showLegendKey val="0"/>
          <c:showVal val="0"/>
          <c:showCatName val="0"/>
          <c:showSerName val="0"/>
          <c:showPercent val="0"/>
          <c:showBubbleSize val="0"/>
        </c:dLbls>
        <c:gapWidth val="28"/>
        <c:overlap val="-27"/>
        <c:axId val="1128806271"/>
        <c:axId val="1128807103"/>
      </c:barChart>
      <c:catAx>
        <c:axId val="1128806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z-Latn-AZ"/>
          </a:p>
        </c:txPr>
        <c:crossAx val="1128807103"/>
        <c:crosses val="autoZero"/>
        <c:auto val="0"/>
        <c:lblAlgn val="ctr"/>
        <c:lblOffset val="100"/>
        <c:noMultiLvlLbl val="0"/>
      </c:catAx>
      <c:valAx>
        <c:axId val="1128807103"/>
        <c:scaling>
          <c:orientation val="minMax"/>
        </c:scaling>
        <c:delete val="1"/>
        <c:axPos val="l"/>
        <c:majorGridlines>
          <c:spPr>
            <a:ln w="9525" cap="flat" cmpd="sng" algn="ctr">
              <a:noFill/>
              <a:round/>
            </a:ln>
            <a:effectLst/>
          </c:spPr>
        </c:majorGridlines>
        <c:numFmt formatCode="_-[$£-809]* #,##0.00_-;\-[$£-809]* #,##0.00_-;_-[$£-809]* &quot;-&quot;??_-;_-@_-" sourceLinked="1"/>
        <c:majorTickMark val="none"/>
        <c:minorTickMark val="none"/>
        <c:tickLblPos val="nextTo"/>
        <c:crossAx val="1128806271"/>
        <c:crosses val="autoZero"/>
        <c:crossBetween val="between"/>
        <c:dispUnits>
          <c:builtInUnit val="tenThousands"/>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z-Latn-AZ"/>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z-Latn-AZ"/>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[Elcan Musayev yeni dashboard.xlsx]Analysis!PivotTable1</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layout>
            <c:manualLayout>
              <c:x val="-0.1390728355953455"/>
              <c:y val="0.23547397776566031"/>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layout>
            <c:manualLayout>
              <c:x val="-0.1004414923744162"/>
              <c:y val="3.2110087877135464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layout>
            <c:manualLayout>
              <c:x val="8.4988955086044468E-2"/>
              <c:y val="-0.18730884594995714"/>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layout>
            <c:manualLayout>
              <c:x val="0.11203089534069484"/>
              <c:y val="3.7461769189991431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layout>
            <c:manualLayout>
              <c:x val="9.2715223730230334E-2"/>
              <c:y val="8.56269010056947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372847380770035"/>
          <c:y val="0.15711953723413521"/>
          <c:w val="0.38418017894619694"/>
          <c:h val="0.70102143260112937"/>
        </c:manualLayout>
      </c:layout>
      <c:radarChart>
        <c:radarStyle val="marker"/>
        <c:varyColors val="0"/>
        <c:ser>
          <c:idx val="0"/>
          <c:order val="0"/>
          <c:tx>
            <c:strRef>
              <c:f>Analysis!$B$3</c:f>
              <c:strCache>
                <c:ptCount val="1"/>
                <c:pt idx="0">
                  <c:v>Total</c:v>
                </c:pt>
              </c:strCache>
            </c:strRef>
          </c:tx>
          <c:spPr>
            <a:ln w="28575" cap="rnd">
              <a:solidFill>
                <a:schemeClr val="accent1"/>
              </a:solidFill>
              <a:round/>
            </a:ln>
            <a:effectLst/>
          </c:spPr>
          <c:marker>
            <c:symbol val="none"/>
          </c:marker>
          <c:dLbls>
            <c:dLbl>
              <c:idx val="0"/>
              <c:layout>
                <c:manualLayout>
                  <c:x val="8.4988955086044468E-2"/>
                  <c:y val="-0.1873088459499571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E40-4EC6-BD13-5FCC912372D7}"/>
                </c:ext>
              </c:extLst>
            </c:dLbl>
            <c:dLbl>
              <c:idx val="1"/>
              <c:layout>
                <c:manualLayout>
                  <c:x val="0.11203089534069484"/>
                  <c:y val="3.74617691899914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E40-4EC6-BD13-5FCC912372D7}"/>
                </c:ext>
              </c:extLst>
            </c:dLbl>
            <c:dLbl>
              <c:idx val="2"/>
              <c:layout>
                <c:manualLayout>
                  <c:x val="9.2715223730230334E-2"/>
                  <c:y val="8.562690100569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E40-4EC6-BD13-5FCC912372D7}"/>
                </c:ext>
              </c:extLst>
            </c:dLbl>
            <c:dLbl>
              <c:idx val="3"/>
              <c:layout>
                <c:manualLayout>
                  <c:x val="-0.1390728355953455"/>
                  <c:y val="0.235473977765660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E40-4EC6-BD13-5FCC912372D7}"/>
                </c:ext>
              </c:extLst>
            </c:dLbl>
            <c:dLbl>
              <c:idx val="4"/>
              <c:layout>
                <c:manualLayout>
                  <c:x val="-0.1004414923744162"/>
                  <c:y val="3.21100878771354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E40-4EC6-BD13-5FCC912372D7}"/>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Analysis!$A$4:$A$9</c:f>
              <c:strCache>
                <c:ptCount val="5"/>
                <c:pt idx="0">
                  <c:v>Channel Partners</c:v>
                </c:pt>
                <c:pt idx="1">
                  <c:v>Enterprise</c:v>
                </c:pt>
                <c:pt idx="2">
                  <c:v>Government</c:v>
                </c:pt>
                <c:pt idx="3">
                  <c:v>Midmarket</c:v>
                </c:pt>
                <c:pt idx="4">
                  <c:v>Small Business</c:v>
                </c:pt>
              </c:strCache>
            </c:strRef>
          </c:cat>
          <c:val>
            <c:numRef>
              <c:f>Analysis!$B$4:$B$9</c:f>
              <c:numCache>
                <c:formatCode>_-[$£-809]* #,##0.00_-;\-[$£-809]* #,##0.00_-;_-[$£-809]* "-"??_-;_-@_-</c:formatCode>
                <c:ptCount val="5"/>
                <c:pt idx="0">
                  <c:v>3241.0539999999996</c:v>
                </c:pt>
                <c:pt idx="1">
                  <c:v>35394.759999999987</c:v>
                </c:pt>
                <c:pt idx="2">
                  <c:v>42685.77000000004</c:v>
                </c:pt>
                <c:pt idx="3">
                  <c:v>4382.6089999999995</c:v>
                </c:pt>
                <c:pt idx="4">
                  <c:v>32239.683000000005</c:v>
                </c:pt>
              </c:numCache>
            </c:numRef>
          </c:val>
          <c:extLst>
            <c:ext xmlns:c16="http://schemas.microsoft.com/office/drawing/2014/chart" uri="{C3380CC4-5D6E-409C-BE32-E72D297353CC}">
              <c16:uniqueId val="{00000000-3E40-4EC6-BD13-5FCC912372D7}"/>
            </c:ext>
          </c:extLst>
        </c:ser>
        <c:dLbls>
          <c:showLegendKey val="0"/>
          <c:showVal val="1"/>
          <c:showCatName val="0"/>
          <c:showSerName val="0"/>
          <c:showPercent val="0"/>
          <c:showBubbleSize val="0"/>
        </c:dLbls>
        <c:axId val="378709919"/>
        <c:axId val="378710335"/>
      </c:radarChart>
      <c:catAx>
        <c:axId val="378709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z-Latn-AZ"/>
          </a:p>
        </c:txPr>
        <c:crossAx val="378710335"/>
        <c:crosses val="autoZero"/>
        <c:auto val="1"/>
        <c:lblAlgn val="ctr"/>
        <c:lblOffset val="100"/>
        <c:noMultiLvlLbl val="0"/>
      </c:catAx>
      <c:valAx>
        <c:axId val="378710335"/>
        <c:scaling>
          <c:orientation val="minMax"/>
        </c:scaling>
        <c:delete val="1"/>
        <c:axPos val="l"/>
        <c:majorGridlines>
          <c:spPr>
            <a:ln w="9525" cap="flat" cmpd="sng" algn="ctr">
              <a:solidFill>
                <a:srgbClr val="FFC000"/>
              </a:solidFill>
              <a:round/>
            </a:ln>
            <a:effectLst/>
          </c:spPr>
        </c:majorGridlines>
        <c:numFmt formatCode="_-[$£-809]* #,##0.00_-;\-[$£-809]* #,##0.00_-;_-[$£-809]* &quot;-&quot;??_-;_-@_-" sourceLinked="0"/>
        <c:majorTickMark val="none"/>
        <c:minorTickMark val="none"/>
        <c:tickLblPos val="nextTo"/>
        <c:crossAx val="378709919"/>
        <c:crosses val="autoZero"/>
        <c:crossBetween val="between"/>
        <c:dispUnits>
          <c:builtInUnit val="millions"/>
          <c:dispUnitsLbl>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az-Latn-AZ"/>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z-Latn-AZ"/>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[Elcan Musayev yeni dashboard.xlsx]Analysis!PivotTable9</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757567453796165"/>
          <c:y val="0.11571369462732579"/>
          <c:w val="0.66190589951018275"/>
          <c:h val="0.85025286577640191"/>
        </c:manualLayout>
      </c:layout>
      <c:barChart>
        <c:barDir val="bar"/>
        <c:grouping val="clustered"/>
        <c:varyColors val="0"/>
        <c:ser>
          <c:idx val="0"/>
          <c:order val="0"/>
          <c:tx>
            <c:strRef>
              <c:f>Analysis!$B$39</c:f>
              <c:strCache>
                <c:ptCount val="1"/>
                <c:pt idx="0">
                  <c:v>Total</c:v>
                </c:pt>
              </c:strCache>
            </c:strRef>
          </c:tx>
          <c:spPr>
            <a:solidFill>
              <a:schemeClr val="accent2"/>
            </a:solidFill>
            <a:ln>
              <a:noFill/>
            </a:ln>
            <a:effectLst/>
          </c:spPr>
          <c:invertIfNegative val="0"/>
          <c:cat>
            <c:strRef>
              <c:f>Analysis!$A$40:$A$45</c:f>
              <c:strCache>
                <c:ptCount val="5"/>
                <c:pt idx="0">
                  <c:v>Channel Partners</c:v>
                </c:pt>
                <c:pt idx="1">
                  <c:v>Enterprise</c:v>
                </c:pt>
                <c:pt idx="2">
                  <c:v>Government</c:v>
                </c:pt>
                <c:pt idx="3">
                  <c:v>Midmarket</c:v>
                </c:pt>
                <c:pt idx="4">
                  <c:v>Small Business</c:v>
                </c:pt>
              </c:strCache>
            </c:strRef>
          </c:cat>
          <c:val>
            <c:numRef>
              <c:f>Analysis!$B$40:$B$45</c:f>
              <c:numCache>
                <c:formatCode>_-[$£-809]* #,##0.00_-;\-[$£-809]* #,##0.00_-;_-[$£-809]* "-"??_-;_-@_-</c:formatCode>
                <c:ptCount val="5"/>
                <c:pt idx="0">
                  <c:v>12575.121000000001</c:v>
                </c:pt>
                <c:pt idx="1">
                  <c:v>18571.872000000007</c:v>
                </c:pt>
                <c:pt idx="2">
                  <c:v>38912.415999999997</c:v>
                </c:pt>
                <c:pt idx="3">
                  <c:v>16109.691999999999</c:v>
                </c:pt>
                <c:pt idx="4">
                  <c:v>14712.224999999997</c:v>
                </c:pt>
              </c:numCache>
            </c:numRef>
          </c:val>
          <c:extLst>
            <c:ext xmlns:c16="http://schemas.microsoft.com/office/drawing/2014/chart" uri="{C3380CC4-5D6E-409C-BE32-E72D297353CC}">
              <c16:uniqueId val="{00000000-0D14-408A-8EFB-D083E062C7D5}"/>
            </c:ext>
          </c:extLst>
        </c:ser>
        <c:dLbls>
          <c:showLegendKey val="0"/>
          <c:showVal val="0"/>
          <c:showCatName val="0"/>
          <c:showSerName val="0"/>
          <c:showPercent val="0"/>
          <c:showBubbleSize val="0"/>
        </c:dLbls>
        <c:gapWidth val="55"/>
        <c:axId val="1064732015"/>
        <c:axId val="1064729519"/>
      </c:barChart>
      <c:catAx>
        <c:axId val="106473201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z-Latn-AZ"/>
          </a:p>
        </c:txPr>
        <c:crossAx val="1064729519"/>
        <c:crosses val="autoZero"/>
        <c:auto val="1"/>
        <c:lblAlgn val="ctr"/>
        <c:lblOffset val="100"/>
        <c:noMultiLvlLbl val="0"/>
      </c:catAx>
      <c:valAx>
        <c:axId val="1064729519"/>
        <c:scaling>
          <c:orientation val="minMax"/>
        </c:scaling>
        <c:delete val="1"/>
        <c:axPos val="b"/>
        <c:numFmt formatCode="_-[$£-809]* #,##0.00_-;\-[$£-809]* #,##0.00_-;_-[$£-809]* &quot;-&quot;??_-;_-@_-" sourceLinked="1"/>
        <c:majorTickMark val="out"/>
        <c:minorTickMark val="none"/>
        <c:tickLblPos val="nextTo"/>
        <c:crossAx val="10647320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z-Latn-AZ"/>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[Elcan Musayev yeni dashboard.xlsx]Analysis!PivotTable3</c:name>
    <c:fmtId val="3"/>
  </c:pivotSource>
  <c:chart>
    <c:autoTitleDeleted val="1"/>
    <c:pivotFmts>
      <c:pivotFmt>
        <c:idx val="0"/>
        <c:spPr>
          <a:solidFill>
            <a:schemeClr val="accent1"/>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bg1"/>
            </a:solidFill>
          </a:ln>
          <a:effectLst/>
        </c:spPr>
      </c:pivotFmt>
      <c:pivotFmt>
        <c:idx val="3"/>
        <c:spPr>
          <a:solidFill>
            <a:schemeClr val="accent1"/>
          </a:solidFill>
          <a:ln w="19050">
            <a:solidFill>
              <a:schemeClr val="bg1"/>
            </a:solidFill>
          </a:ln>
          <a:effectLst/>
        </c:spPr>
      </c:pivotFmt>
      <c:pivotFmt>
        <c:idx val="4"/>
        <c:spPr>
          <a:solidFill>
            <a:schemeClr val="accent1"/>
          </a:solidFill>
          <a:ln w="19050">
            <a:solidFill>
              <a:schemeClr val="bg1"/>
            </a:solidFill>
          </a:ln>
          <a:effectLst/>
        </c:spPr>
      </c:pivotFmt>
      <c:pivotFmt>
        <c:idx val="5"/>
        <c:spPr>
          <a:solidFill>
            <a:schemeClr val="accent1"/>
          </a:solidFill>
          <a:ln w="19050">
            <a:solidFill>
              <a:schemeClr val="bg1"/>
            </a:solidFill>
          </a:ln>
          <a:effectLst/>
        </c:spPr>
      </c:pivotFmt>
      <c:pivotFmt>
        <c:idx val="6"/>
        <c:spPr>
          <a:solidFill>
            <a:schemeClr val="accent1"/>
          </a:solidFill>
          <a:ln w="19050">
            <a:solidFill>
              <a:schemeClr val="bg1"/>
            </a:solidFill>
          </a:ln>
          <a:effectLst/>
        </c:spPr>
      </c:pivotFmt>
      <c:pivotFmt>
        <c:idx val="7"/>
        <c:spPr>
          <a:solidFill>
            <a:schemeClr val="accent1"/>
          </a:solidFill>
          <a:ln w="19050">
            <a:solidFill>
              <a:schemeClr val="bg1"/>
            </a:solidFill>
          </a:ln>
          <a:effectLst/>
        </c:spPr>
      </c:pivotFmt>
      <c:pivotFmt>
        <c:idx val="8"/>
        <c:spPr>
          <a:solidFill>
            <a:schemeClr val="accent1"/>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bg1"/>
            </a:solidFill>
          </a:ln>
          <a:effectLst/>
        </c:spPr>
      </c:pivotFmt>
      <c:pivotFmt>
        <c:idx val="10"/>
        <c:spPr>
          <a:solidFill>
            <a:schemeClr val="accent1"/>
          </a:solidFill>
          <a:ln w="19050">
            <a:solidFill>
              <a:schemeClr val="bg1"/>
            </a:solidFill>
          </a:ln>
          <a:effectLst/>
        </c:spPr>
      </c:pivotFmt>
      <c:pivotFmt>
        <c:idx val="11"/>
        <c:spPr>
          <a:solidFill>
            <a:schemeClr val="accent1"/>
          </a:solidFill>
          <a:ln w="19050">
            <a:solidFill>
              <a:schemeClr val="bg1"/>
            </a:solidFill>
          </a:ln>
          <a:effectLst/>
        </c:spPr>
      </c:pivotFmt>
      <c:pivotFmt>
        <c:idx val="12"/>
        <c:spPr>
          <a:solidFill>
            <a:schemeClr val="accent1"/>
          </a:solidFill>
          <a:ln w="19050">
            <a:solidFill>
              <a:schemeClr val="bg1"/>
            </a:solidFill>
          </a:ln>
          <a:effectLst/>
        </c:spPr>
      </c:pivotFmt>
      <c:pivotFmt>
        <c:idx val="13"/>
        <c:spPr>
          <a:solidFill>
            <a:schemeClr val="accent1"/>
          </a:solidFill>
          <a:ln w="19050">
            <a:solidFill>
              <a:schemeClr val="bg1"/>
            </a:solidFill>
          </a:ln>
          <a:effectLst/>
        </c:spPr>
      </c:pivotFmt>
      <c:pivotFmt>
        <c:idx val="14"/>
        <c:spPr>
          <a:solidFill>
            <a:schemeClr val="accent1"/>
          </a:solidFill>
          <a:ln w="19050">
            <a:solidFill>
              <a:schemeClr val="bg1"/>
            </a:solidFill>
          </a:ln>
          <a:effectLst/>
        </c:spPr>
      </c:pivotFmt>
    </c:pivotFmts>
    <c:plotArea>
      <c:layout>
        <c:manualLayout>
          <c:layoutTarget val="inner"/>
          <c:xMode val="edge"/>
          <c:yMode val="edge"/>
          <c:x val="2.7997156605424321E-2"/>
          <c:y val="8.3333333333333329E-2"/>
          <c:w val="0.50277777777777777"/>
          <c:h val="0.83796296296296291"/>
        </c:manualLayout>
      </c:layout>
      <c:doughnutChart>
        <c:varyColors val="1"/>
        <c:ser>
          <c:idx val="0"/>
          <c:order val="0"/>
          <c:tx>
            <c:strRef>
              <c:f>Analysis!$J$23</c:f>
              <c:strCache>
                <c:ptCount val="1"/>
                <c:pt idx="0">
                  <c:v>Total</c:v>
                </c:pt>
              </c:strCache>
            </c:strRef>
          </c:tx>
          <c:spPr>
            <a:ln>
              <a:solidFill>
                <a:schemeClr val="bg1"/>
              </a:solidFill>
            </a:ln>
          </c:spPr>
          <c:dPt>
            <c:idx val="0"/>
            <c:bubble3D val="0"/>
            <c:spPr>
              <a:solidFill>
                <a:schemeClr val="accent1"/>
              </a:solidFill>
              <a:ln w="19050">
                <a:solidFill>
                  <a:schemeClr val="bg1"/>
                </a:solidFill>
              </a:ln>
              <a:effectLst/>
            </c:spPr>
            <c:extLst>
              <c:ext xmlns:c16="http://schemas.microsoft.com/office/drawing/2014/chart" uri="{C3380CC4-5D6E-409C-BE32-E72D297353CC}">
                <c16:uniqueId val="{00000001-F2D8-4D23-963D-A7EB5003F6F2}"/>
              </c:ext>
            </c:extLst>
          </c:dPt>
          <c:dPt>
            <c:idx val="1"/>
            <c:bubble3D val="0"/>
            <c:spPr>
              <a:solidFill>
                <a:schemeClr val="accent2"/>
              </a:solidFill>
              <a:ln w="19050">
                <a:solidFill>
                  <a:schemeClr val="bg1"/>
                </a:solidFill>
              </a:ln>
              <a:effectLst/>
            </c:spPr>
            <c:extLst>
              <c:ext xmlns:c16="http://schemas.microsoft.com/office/drawing/2014/chart" uri="{C3380CC4-5D6E-409C-BE32-E72D297353CC}">
                <c16:uniqueId val="{00000003-F2D8-4D23-963D-A7EB5003F6F2}"/>
              </c:ext>
            </c:extLst>
          </c:dPt>
          <c:dPt>
            <c:idx val="2"/>
            <c:bubble3D val="0"/>
            <c:spPr>
              <a:solidFill>
                <a:schemeClr val="accent3"/>
              </a:solidFill>
              <a:ln w="19050">
                <a:solidFill>
                  <a:schemeClr val="bg1"/>
                </a:solidFill>
              </a:ln>
              <a:effectLst/>
            </c:spPr>
            <c:extLst>
              <c:ext xmlns:c16="http://schemas.microsoft.com/office/drawing/2014/chart" uri="{C3380CC4-5D6E-409C-BE32-E72D297353CC}">
                <c16:uniqueId val="{00000005-F2D8-4D23-963D-A7EB5003F6F2}"/>
              </c:ext>
            </c:extLst>
          </c:dPt>
          <c:dPt>
            <c:idx val="3"/>
            <c:bubble3D val="0"/>
            <c:spPr>
              <a:solidFill>
                <a:schemeClr val="accent4"/>
              </a:solidFill>
              <a:ln w="19050">
                <a:solidFill>
                  <a:schemeClr val="bg1"/>
                </a:solidFill>
              </a:ln>
              <a:effectLst/>
            </c:spPr>
            <c:extLst>
              <c:ext xmlns:c16="http://schemas.microsoft.com/office/drawing/2014/chart" uri="{C3380CC4-5D6E-409C-BE32-E72D297353CC}">
                <c16:uniqueId val="{00000007-F2D8-4D23-963D-A7EB5003F6F2}"/>
              </c:ext>
            </c:extLst>
          </c:dPt>
          <c:dPt>
            <c:idx val="4"/>
            <c:bubble3D val="0"/>
            <c:spPr>
              <a:solidFill>
                <a:schemeClr val="accent5"/>
              </a:solidFill>
              <a:ln w="19050">
                <a:solidFill>
                  <a:schemeClr val="bg1"/>
                </a:solidFill>
              </a:ln>
              <a:effectLst/>
            </c:spPr>
            <c:extLst>
              <c:ext xmlns:c16="http://schemas.microsoft.com/office/drawing/2014/chart" uri="{C3380CC4-5D6E-409C-BE32-E72D297353CC}">
                <c16:uniqueId val="{00000009-F2D8-4D23-963D-A7EB5003F6F2}"/>
              </c:ext>
            </c:extLst>
          </c:dPt>
          <c:dPt>
            <c:idx val="5"/>
            <c:bubble3D val="0"/>
            <c:spPr>
              <a:solidFill>
                <a:schemeClr val="accent6"/>
              </a:solidFill>
              <a:ln w="19050">
                <a:solidFill>
                  <a:schemeClr val="bg1"/>
                </a:solidFill>
              </a:ln>
              <a:effectLst/>
            </c:spPr>
            <c:extLst>
              <c:ext xmlns:c16="http://schemas.microsoft.com/office/drawing/2014/chart" uri="{C3380CC4-5D6E-409C-BE32-E72D297353CC}">
                <c16:uniqueId val="{0000000B-F2D8-4D23-963D-A7EB5003F6F2}"/>
              </c:ext>
            </c:extLst>
          </c:dPt>
          <c:cat>
            <c:strRef>
              <c:f>Analysis!$I$24:$I$30</c:f>
              <c:strCache>
                <c:ptCount val="6"/>
                <c:pt idx="0">
                  <c:v>City Cruiser</c:v>
                </c:pt>
                <c:pt idx="1">
                  <c:v>X-Terrain</c:v>
                </c:pt>
                <c:pt idx="2">
                  <c:v>Road Racer</c:v>
                </c:pt>
                <c:pt idx="3">
                  <c:v>Speedster</c:v>
                </c:pt>
                <c:pt idx="4">
                  <c:v>Trail Master</c:v>
                </c:pt>
                <c:pt idx="5">
                  <c:v>Yellow Edition</c:v>
                </c:pt>
              </c:strCache>
            </c:strRef>
          </c:cat>
          <c:val>
            <c:numRef>
              <c:f>Analysis!$J$24:$J$30</c:f>
              <c:numCache>
                <c:formatCode>_-[$£-809]* #,##0.00_-;\-[$£-809]* #,##0.00_-;_-[$£-809]* "-"??_-;_-@_-</c:formatCode>
                <c:ptCount val="6"/>
                <c:pt idx="0">
                  <c:v>32667.543999999983</c:v>
                </c:pt>
                <c:pt idx="1">
                  <c:v>17550.050999999999</c:v>
                </c:pt>
                <c:pt idx="2">
                  <c:v>17276.45</c:v>
                </c:pt>
                <c:pt idx="3">
                  <c:v>17588.964000000011</c:v>
                </c:pt>
                <c:pt idx="4">
                  <c:v>18000.231999999996</c:v>
                </c:pt>
                <c:pt idx="5">
                  <c:v>14860.635</c:v>
                </c:pt>
              </c:numCache>
            </c:numRef>
          </c:val>
          <c:extLst>
            <c:ext xmlns:c16="http://schemas.microsoft.com/office/drawing/2014/chart" uri="{C3380CC4-5D6E-409C-BE32-E72D297353CC}">
              <c16:uniqueId val="{0000000C-F2D8-4D23-963D-A7EB5003F6F2}"/>
            </c:ext>
          </c:extLst>
        </c:ser>
        <c:dLbls>
          <c:showLegendKey val="0"/>
          <c:showVal val="0"/>
          <c:showCatName val="0"/>
          <c:showSerName val="0"/>
          <c:showPercent val="0"/>
          <c:showBubbleSize val="0"/>
          <c:showLeaderLines val="1"/>
        </c:dLbls>
        <c:firstSliceAng val="0"/>
        <c:holeSize val="46"/>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z-Latn-AZ"/>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522516</xdr:colOff>
      <xdr:row>1</xdr:row>
      <xdr:rowOff>21771</xdr:rowOff>
    </xdr:from>
    <xdr:to>
      <xdr:col>23</xdr:col>
      <xdr:colOff>206830</xdr:colOff>
      <xdr:row>38</xdr:row>
      <xdr:rowOff>54428</xdr:rowOff>
    </xdr:to>
    <xdr:sp macro="" textlink="">
      <xdr:nvSpPr>
        <xdr:cNvPr id="2" name="Rectangle: Rounded Corners 1">
          <a:extLst>
            <a:ext uri="{FF2B5EF4-FFF2-40B4-BE49-F238E27FC236}">
              <a16:creationId xmlns:a16="http://schemas.microsoft.com/office/drawing/2014/main" id="{161AB3F5-8902-4DE1-9ED6-27E677BA3232}"/>
            </a:ext>
          </a:extLst>
        </xdr:cNvPr>
        <xdr:cNvSpPr/>
      </xdr:nvSpPr>
      <xdr:spPr>
        <a:xfrm>
          <a:off x="522516" y="206828"/>
          <a:ext cx="13705114" cy="6879771"/>
        </a:xfrm>
        <a:prstGeom prst="roundRect">
          <a:avLst>
            <a:gd name="adj" fmla="val 6083"/>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az-Latn-AZ" sz="1100">
            <a:solidFill>
              <a:srgbClr val="FF0000"/>
            </a:solidFill>
          </a:endParaRPr>
        </a:p>
      </xdr:txBody>
    </xdr:sp>
    <xdr:clientData/>
  </xdr:twoCellAnchor>
  <xdr:twoCellAnchor>
    <xdr:from>
      <xdr:col>1</xdr:col>
      <xdr:colOff>304800</xdr:colOff>
      <xdr:row>2</xdr:row>
      <xdr:rowOff>54428</xdr:rowOff>
    </xdr:from>
    <xdr:to>
      <xdr:col>4</xdr:col>
      <xdr:colOff>312420</xdr:colOff>
      <xdr:row>37</xdr:row>
      <xdr:rowOff>174174</xdr:rowOff>
    </xdr:to>
    <xdr:sp macro="" textlink="">
      <xdr:nvSpPr>
        <xdr:cNvPr id="3" name="Rectangle: Top Corners Rounded 2">
          <a:extLst>
            <a:ext uri="{FF2B5EF4-FFF2-40B4-BE49-F238E27FC236}">
              <a16:creationId xmlns:a16="http://schemas.microsoft.com/office/drawing/2014/main" id="{A0F559E8-DDC5-4CAD-AB79-9810078B2AAA}"/>
            </a:ext>
          </a:extLst>
        </xdr:cNvPr>
        <xdr:cNvSpPr/>
      </xdr:nvSpPr>
      <xdr:spPr>
        <a:xfrm rot="16200000">
          <a:off x="-1465763" y="2804705"/>
          <a:ext cx="6596746" cy="1836420"/>
        </a:xfrm>
        <a:prstGeom prst="round2SameRect">
          <a:avLst>
            <a:gd name="adj1" fmla="val 16667"/>
            <a:gd name="adj2" fmla="val 4124"/>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az-Latn-AZ" sz="1100"/>
        </a:p>
      </xdr:txBody>
    </xdr:sp>
    <xdr:clientData/>
  </xdr:twoCellAnchor>
  <xdr:twoCellAnchor>
    <xdr:from>
      <xdr:col>5</xdr:col>
      <xdr:colOff>78377</xdr:colOff>
      <xdr:row>2</xdr:row>
      <xdr:rowOff>100149</xdr:rowOff>
    </xdr:from>
    <xdr:to>
      <xdr:col>22</xdr:col>
      <xdr:colOff>283029</xdr:colOff>
      <xdr:row>5</xdr:row>
      <xdr:rowOff>174171</xdr:rowOff>
    </xdr:to>
    <xdr:sp macro="" textlink="">
      <xdr:nvSpPr>
        <xdr:cNvPr id="4" name="Rectangle: Rounded Corners 3">
          <a:extLst>
            <a:ext uri="{FF2B5EF4-FFF2-40B4-BE49-F238E27FC236}">
              <a16:creationId xmlns:a16="http://schemas.microsoft.com/office/drawing/2014/main" id="{6C94CA0A-05AA-4C18-A42E-D3929653C340}"/>
            </a:ext>
          </a:extLst>
        </xdr:cNvPr>
        <xdr:cNvSpPr/>
      </xdr:nvSpPr>
      <xdr:spPr>
        <a:xfrm>
          <a:off x="3126377" y="470263"/>
          <a:ext cx="10567852" cy="629194"/>
        </a:xfrm>
        <a:prstGeom prst="roundRect">
          <a:avLst>
            <a:gd name="adj" fmla="val 3125"/>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az-Latn-AZ" sz="1100"/>
        </a:p>
      </xdr:txBody>
    </xdr:sp>
    <xdr:clientData/>
  </xdr:twoCellAnchor>
  <xdr:twoCellAnchor>
    <xdr:from>
      <xdr:col>5</xdr:col>
      <xdr:colOff>99060</xdr:colOff>
      <xdr:row>14</xdr:row>
      <xdr:rowOff>20682</xdr:rowOff>
    </xdr:from>
    <xdr:to>
      <xdr:col>14</xdr:col>
      <xdr:colOff>144780</xdr:colOff>
      <xdr:row>25</xdr:row>
      <xdr:rowOff>10885</xdr:rowOff>
    </xdr:to>
    <xdr:sp macro="" textlink="">
      <xdr:nvSpPr>
        <xdr:cNvPr id="9" name="Rectangle: Rounded Corners 8">
          <a:extLst>
            <a:ext uri="{FF2B5EF4-FFF2-40B4-BE49-F238E27FC236}">
              <a16:creationId xmlns:a16="http://schemas.microsoft.com/office/drawing/2014/main" id="{C26E41DE-83C2-414A-AA65-1DFD12204B2A}"/>
            </a:ext>
          </a:extLst>
        </xdr:cNvPr>
        <xdr:cNvSpPr/>
      </xdr:nvSpPr>
      <xdr:spPr>
        <a:xfrm>
          <a:off x="3147060" y="2611482"/>
          <a:ext cx="5532120" cy="2025832"/>
        </a:xfrm>
        <a:prstGeom prst="roundRect">
          <a:avLst>
            <a:gd name="adj" fmla="val 8551"/>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az-Latn-AZ" sz="1100" u="sng"/>
        </a:p>
      </xdr:txBody>
    </xdr:sp>
    <xdr:clientData/>
  </xdr:twoCellAnchor>
  <xdr:twoCellAnchor>
    <xdr:from>
      <xdr:col>14</xdr:col>
      <xdr:colOff>359229</xdr:colOff>
      <xdr:row>14</xdr:row>
      <xdr:rowOff>26414</xdr:rowOff>
    </xdr:from>
    <xdr:to>
      <xdr:col>22</xdr:col>
      <xdr:colOff>359229</xdr:colOff>
      <xdr:row>25</xdr:row>
      <xdr:rowOff>76200</xdr:rowOff>
    </xdr:to>
    <xdr:sp macro="" textlink="">
      <xdr:nvSpPr>
        <xdr:cNvPr id="10" name="Rectangle: Rounded Corners 9">
          <a:extLst>
            <a:ext uri="{FF2B5EF4-FFF2-40B4-BE49-F238E27FC236}">
              <a16:creationId xmlns:a16="http://schemas.microsoft.com/office/drawing/2014/main" id="{1D8FF947-CB6F-434D-87EA-1D6EB9C441A9}"/>
            </a:ext>
          </a:extLst>
        </xdr:cNvPr>
        <xdr:cNvSpPr/>
      </xdr:nvSpPr>
      <xdr:spPr>
        <a:xfrm>
          <a:off x="8893629" y="2617214"/>
          <a:ext cx="4876800" cy="2085415"/>
        </a:xfrm>
        <a:prstGeom prst="roundRect">
          <a:avLst>
            <a:gd name="adj" fmla="val 8551"/>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az-Latn-AZ" sz="1100" u="sng"/>
        </a:p>
      </xdr:txBody>
    </xdr:sp>
    <xdr:clientData/>
  </xdr:twoCellAnchor>
  <xdr:twoCellAnchor>
    <xdr:from>
      <xdr:col>11</xdr:col>
      <xdr:colOff>141514</xdr:colOff>
      <xdr:row>26</xdr:row>
      <xdr:rowOff>1087</xdr:rowOff>
    </xdr:from>
    <xdr:to>
      <xdr:col>16</xdr:col>
      <xdr:colOff>225879</xdr:colOff>
      <xdr:row>36</xdr:row>
      <xdr:rowOff>141514</xdr:rowOff>
    </xdr:to>
    <xdr:sp macro="" textlink="">
      <xdr:nvSpPr>
        <xdr:cNvPr id="11" name="Rectangle: Rounded Corners 10">
          <a:extLst>
            <a:ext uri="{FF2B5EF4-FFF2-40B4-BE49-F238E27FC236}">
              <a16:creationId xmlns:a16="http://schemas.microsoft.com/office/drawing/2014/main" id="{3B363C86-6556-4399-A7E1-63239B40A153}"/>
            </a:ext>
          </a:extLst>
        </xdr:cNvPr>
        <xdr:cNvSpPr/>
      </xdr:nvSpPr>
      <xdr:spPr>
        <a:xfrm>
          <a:off x="6847114" y="4812573"/>
          <a:ext cx="3132365" cy="1990998"/>
        </a:xfrm>
        <a:prstGeom prst="roundRect">
          <a:avLst>
            <a:gd name="adj" fmla="val 8551"/>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az-Latn-AZ" sz="1100" u="sng"/>
        </a:p>
      </xdr:txBody>
    </xdr:sp>
    <xdr:clientData/>
  </xdr:twoCellAnchor>
  <xdr:twoCellAnchor>
    <xdr:from>
      <xdr:col>5</xdr:col>
      <xdr:colOff>138248</xdr:colOff>
      <xdr:row>25</xdr:row>
      <xdr:rowOff>167641</xdr:rowOff>
    </xdr:from>
    <xdr:to>
      <xdr:col>10</xdr:col>
      <xdr:colOff>315686</xdr:colOff>
      <xdr:row>36</xdr:row>
      <xdr:rowOff>119743</xdr:rowOff>
    </xdr:to>
    <xdr:sp macro="" textlink="">
      <xdr:nvSpPr>
        <xdr:cNvPr id="12" name="Rectangle: Rounded Corners 11">
          <a:extLst>
            <a:ext uri="{FF2B5EF4-FFF2-40B4-BE49-F238E27FC236}">
              <a16:creationId xmlns:a16="http://schemas.microsoft.com/office/drawing/2014/main" id="{A17534E2-5F2D-4105-B895-3CABED656887}"/>
            </a:ext>
          </a:extLst>
        </xdr:cNvPr>
        <xdr:cNvSpPr/>
      </xdr:nvSpPr>
      <xdr:spPr>
        <a:xfrm>
          <a:off x="3186248" y="4794070"/>
          <a:ext cx="3225438" cy="1987730"/>
        </a:xfrm>
        <a:prstGeom prst="roundRect">
          <a:avLst>
            <a:gd name="adj" fmla="val 8551"/>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az-Latn-AZ" sz="1100" u="sng"/>
        </a:p>
      </xdr:txBody>
    </xdr:sp>
    <xdr:clientData/>
  </xdr:twoCellAnchor>
  <xdr:twoCellAnchor>
    <xdr:from>
      <xdr:col>16</xdr:col>
      <xdr:colOff>609599</xdr:colOff>
      <xdr:row>25</xdr:row>
      <xdr:rowOff>180702</xdr:rowOff>
    </xdr:from>
    <xdr:to>
      <xdr:col>22</xdr:col>
      <xdr:colOff>348342</xdr:colOff>
      <xdr:row>36</xdr:row>
      <xdr:rowOff>141513</xdr:rowOff>
    </xdr:to>
    <xdr:sp macro="" textlink="">
      <xdr:nvSpPr>
        <xdr:cNvPr id="13" name="Rectangle: Rounded Corners 12">
          <a:extLst>
            <a:ext uri="{FF2B5EF4-FFF2-40B4-BE49-F238E27FC236}">
              <a16:creationId xmlns:a16="http://schemas.microsoft.com/office/drawing/2014/main" id="{33CCE919-59D4-4C7C-AC51-4AB081C16B2B}"/>
            </a:ext>
          </a:extLst>
        </xdr:cNvPr>
        <xdr:cNvSpPr/>
      </xdr:nvSpPr>
      <xdr:spPr>
        <a:xfrm>
          <a:off x="10363199" y="4807131"/>
          <a:ext cx="3396343" cy="1996439"/>
        </a:xfrm>
        <a:prstGeom prst="roundRect">
          <a:avLst>
            <a:gd name="adj" fmla="val 8551"/>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az-Latn-AZ" sz="1100" u="sng"/>
        </a:p>
      </xdr:txBody>
    </xdr:sp>
    <xdr:clientData/>
  </xdr:twoCellAnchor>
  <xdr:twoCellAnchor>
    <xdr:from>
      <xdr:col>5</xdr:col>
      <xdr:colOff>566056</xdr:colOff>
      <xdr:row>3</xdr:row>
      <xdr:rowOff>76201</xdr:rowOff>
    </xdr:from>
    <xdr:to>
      <xdr:col>12</xdr:col>
      <xdr:colOff>239485</xdr:colOff>
      <xdr:row>6</xdr:row>
      <xdr:rowOff>97972</xdr:rowOff>
    </xdr:to>
    <xdr:sp macro="" textlink="">
      <xdr:nvSpPr>
        <xdr:cNvPr id="33" name="TextBox 32">
          <a:extLst>
            <a:ext uri="{FF2B5EF4-FFF2-40B4-BE49-F238E27FC236}">
              <a16:creationId xmlns:a16="http://schemas.microsoft.com/office/drawing/2014/main" id="{8075CB9D-CC2A-4C38-B1D7-CD07E5907B98}"/>
            </a:ext>
          </a:extLst>
        </xdr:cNvPr>
        <xdr:cNvSpPr txBox="1"/>
      </xdr:nvSpPr>
      <xdr:spPr>
        <a:xfrm>
          <a:off x="3614056" y="631372"/>
          <a:ext cx="3940629" cy="5769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latin typeface="Times New Roman" panose="02020603050405020304" pitchFamily="18" charset="0"/>
              <a:cs typeface="Times New Roman" panose="02020603050405020304" pitchFamily="18" charset="0"/>
            </a:rPr>
            <a:t>SALES</a:t>
          </a:r>
          <a:r>
            <a:rPr lang="en-US" sz="2800" b="1" baseline="0">
              <a:latin typeface="Times New Roman" panose="02020603050405020304" pitchFamily="18" charset="0"/>
              <a:cs typeface="Times New Roman" panose="02020603050405020304" pitchFamily="18" charset="0"/>
            </a:rPr>
            <a:t> DASHBOARD</a:t>
          </a:r>
          <a:endParaRPr lang="az-Latn-AZ" sz="2800" b="1">
            <a:latin typeface="Times New Roman" panose="02020603050405020304" pitchFamily="18" charset="0"/>
            <a:cs typeface="Times New Roman" panose="02020603050405020304" pitchFamily="18" charset="0"/>
          </a:endParaRPr>
        </a:p>
      </xdr:txBody>
    </xdr:sp>
    <xdr:clientData/>
  </xdr:twoCellAnchor>
  <xdr:twoCellAnchor editAs="oneCell">
    <xdr:from>
      <xdr:col>5</xdr:col>
      <xdr:colOff>73800</xdr:colOff>
      <xdr:row>3</xdr:row>
      <xdr:rowOff>19372</xdr:rowOff>
    </xdr:from>
    <xdr:to>
      <xdr:col>6</xdr:col>
      <xdr:colOff>47400</xdr:colOff>
      <xdr:row>6</xdr:row>
      <xdr:rowOff>47400</xdr:rowOff>
    </xdr:to>
    <xdr:pic>
      <xdr:nvPicPr>
        <xdr:cNvPr id="37" name="Graphic 36" descr="House with solid fill">
          <a:extLst>
            <a:ext uri="{FF2B5EF4-FFF2-40B4-BE49-F238E27FC236}">
              <a16:creationId xmlns:a16="http://schemas.microsoft.com/office/drawing/2014/main" id="{DD6F67DA-4988-4090-BA6C-2BD825A0767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3121800" y="574543"/>
          <a:ext cx="583200" cy="583200"/>
        </a:xfrm>
        <a:prstGeom prst="rect">
          <a:avLst/>
        </a:prstGeom>
      </xdr:spPr>
    </xdr:pic>
    <xdr:clientData/>
  </xdr:twoCellAnchor>
  <xdr:twoCellAnchor>
    <xdr:from>
      <xdr:col>5</xdr:col>
      <xdr:colOff>92529</xdr:colOff>
      <xdr:row>6</xdr:row>
      <xdr:rowOff>107769</xdr:rowOff>
    </xdr:from>
    <xdr:to>
      <xdr:col>9</xdr:col>
      <xdr:colOff>107769</xdr:colOff>
      <xdr:row>12</xdr:row>
      <xdr:rowOff>125185</xdr:rowOff>
    </xdr:to>
    <xdr:grpSp>
      <xdr:nvGrpSpPr>
        <xdr:cNvPr id="46" name="Group 45">
          <a:extLst>
            <a:ext uri="{FF2B5EF4-FFF2-40B4-BE49-F238E27FC236}">
              <a16:creationId xmlns:a16="http://schemas.microsoft.com/office/drawing/2014/main" id="{C0C448E9-2191-4336-8945-1316F0C60752}"/>
            </a:ext>
          </a:extLst>
        </xdr:cNvPr>
        <xdr:cNvGrpSpPr/>
      </xdr:nvGrpSpPr>
      <xdr:grpSpPr>
        <a:xfrm>
          <a:off x="3140529" y="1218112"/>
          <a:ext cx="2453640" cy="1127759"/>
          <a:chOff x="3140529" y="1261655"/>
          <a:chExt cx="2453640" cy="1127759"/>
        </a:xfrm>
      </xdr:grpSpPr>
      <xdr:sp macro="" textlink="">
        <xdr:nvSpPr>
          <xdr:cNvPr id="5" name="Rectangle: Rounded Corners 4">
            <a:extLst>
              <a:ext uri="{FF2B5EF4-FFF2-40B4-BE49-F238E27FC236}">
                <a16:creationId xmlns:a16="http://schemas.microsoft.com/office/drawing/2014/main" id="{52264E65-601E-4767-B2A9-FF3E1244510C}"/>
              </a:ext>
            </a:extLst>
          </xdr:cNvPr>
          <xdr:cNvSpPr/>
        </xdr:nvSpPr>
        <xdr:spPr>
          <a:xfrm>
            <a:off x="3140529" y="1261655"/>
            <a:ext cx="2453640" cy="1127759"/>
          </a:xfrm>
          <a:prstGeom prst="roundRect">
            <a:avLst>
              <a:gd name="adj" fmla="val 8551"/>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az-Latn-AZ" sz="1100" u="sng"/>
          </a:p>
        </xdr:txBody>
      </xdr:sp>
      <xdr:sp macro="" textlink="Analysis!B10">
        <xdr:nvSpPr>
          <xdr:cNvPr id="42" name="TextBox 41">
            <a:extLst>
              <a:ext uri="{FF2B5EF4-FFF2-40B4-BE49-F238E27FC236}">
                <a16:creationId xmlns:a16="http://schemas.microsoft.com/office/drawing/2014/main" id="{41CB77B0-563B-49ED-B3B9-4EBCCB063361}"/>
              </a:ext>
            </a:extLst>
          </xdr:cNvPr>
          <xdr:cNvSpPr txBox="1"/>
        </xdr:nvSpPr>
        <xdr:spPr>
          <a:xfrm>
            <a:off x="3189514" y="1698172"/>
            <a:ext cx="1785257"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996B10A-BFBA-4419-9A4F-88524C82A089}" type="TxLink">
              <a:rPr lang="en-US" sz="2200" b="1" i="0" u="none" strike="noStrike">
                <a:solidFill>
                  <a:srgbClr val="000000"/>
                </a:solidFill>
                <a:latin typeface="Times New Roman" panose="02020603050405020304" pitchFamily="18" charset="0"/>
                <a:cs typeface="Times New Roman" panose="02020603050405020304" pitchFamily="18" charset="0"/>
              </a:rPr>
              <a:t>117943,876</a:t>
            </a:fld>
            <a:r>
              <a:rPr lang="en-US" sz="2200" b="1" i="0" u="none" strike="noStrike">
                <a:solidFill>
                  <a:srgbClr val="000000"/>
                </a:solidFill>
                <a:latin typeface="Times New Roman" panose="02020603050405020304" pitchFamily="18" charset="0"/>
                <a:cs typeface="Times New Roman" panose="02020603050405020304" pitchFamily="18" charset="0"/>
              </a:rPr>
              <a:t> </a:t>
            </a:r>
            <a:r>
              <a:rPr lang="az-Latn-AZ" sz="2200" b="0" i="0">
                <a:solidFill>
                  <a:schemeClr val="dk1"/>
                </a:solidFill>
                <a:effectLst/>
                <a:latin typeface="+mn-lt"/>
                <a:ea typeface="+mn-ea"/>
                <a:cs typeface="+mn-cs"/>
              </a:rPr>
              <a:t>£</a:t>
            </a:r>
            <a:endParaRPr lang="en-US" sz="2200" b="1" i="0" u="none" strike="noStrike">
              <a:solidFill>
                <a:srgbClr val="000000"/>
              </a:solidFill>
              <a:latin typeface="Times New Roman" panose="02020603050405020304" pitchFamily="18" charset="0"/>
              <a:cs typeface="Times New Roman" panose="02020603050405020304" pitchFamily="18" charset="0"/>
            </a:endParaRPr>
          </a:p>
        </xdr:txBody>
      </xdr:sp>
      <xdr:sp macro="" textlink="">
        <xdr:nvSpPr>
          <xdr:cNvPr id="43" name="TextBox 42">
            <a:extLst>
              <a:ext uri="{FF2B5EF4-FFF2-40B4-BE49-F238E27FC236}">
                <a16:creationId xmlns:a16="http://schemas.microsoft.com/office/drawing/2014/main" id="{CC912193-36D7-45E3-9C44-14EC5E35A431}"/>
              </a:ext>
            </a:extLst>
          </xdr:cNvPr>
          <xdr:cNvSpPr txBox="1"/>
        </xdr:nvSpPr>
        <xdr:spPr>
          <a:xfrm>
            <a:off x="3189516" y="1360715"/>
            <a:ext cx="1807027" cy="3592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Times New Roman" panose="02020603050405020304" pitchFamily="18" charset="0"/>
                <a:cs typeface="Times New Roman" panose="02020603050405020304" pitchFamily="18" charset="0"/>
              </a:rPr>
              <a:t>TOTAL</a:t>
            </a:r>
            <a:r>
              <a:rPr lang="en-US" sz="1400" b="1" baseline="0">
                <a:latin typeface="Times New Roman" panose="02020603050405020304" pitchFamily="18" charset="0"/>
                <a:cs typeface="Times New Roman" panose="02020603050405020304" pitchFamily="18" charset="0"/>
              </a:rPr>
              <a:t> REVENUE</a:t>
            </a:r>
            <a:endParaRPr lang="az-Latn-AZ" sz="1400" b="1">
              <a:latin typeface="Times New Roman" panose="02020603050405020304" pitchFamily="18" charset="0"/>
              <a:cs typeface="Times New Roman" panose="02020603050405020304" pitchFamily="18" charset="0"/>
            </a:endParaRPr>
          </a:p>
        </xdr:txBody>
      </xdr:sp>
      <xdr:pic>
        <xdr:nvPicPr>
          <xdr:cNvPr id="45" name="Graphic 44" descr="Money with solid fill">
            <a:extLst>
              <a:ext uri="{FF2B5EF4-FFF2-40B4-BE49-F238E27FC236}">
                <a16:creationId xmlns:a16="http://schemas.microsoft.com/office/drawing/2014/main" id="{D96C5B00-4ABA-4F41-A0F2-A6C472FBF3C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4920342" y="1273629"/>
            <a:ext cx="583200" cy="583200"/>
          </a:xfrm>
          <a:prstGeom prst="rect">
            <a:avLst/>
          </a:prstGeom>
        </xdr:spPr>
      </xdr:pic>
    </xdr:grpSp>
    <xdr:clientData/>
  </xdr:twoCellAnchor>
  <xdr:twoCellAnchor>
    <xdr:from>
      <xdr:col>9</xdr:col>
      <xdr:colOff>364670</xdr:colOff>
      <xdr:row>6</xdr:row>
      <xdr:rowOff>96884</xdr:rowOff>
    </xdr:from>
    <xdr:to>
      <xdr:col>13</xdr:col>
      <xdr:colOff>379910</xdr:colOff>
      <xdr:row>12</xdr:row>
      <xdr:rowOff>114300</xdr:rowOff>
    </xdr:to>
    <xdr:grpSp>
      <xdr:nvGrpSpPr>
        <xdr:cNvPr id="47" name="Group 46">
          <a:extLst>
            <a:ext uri="{FF2B5EF4-FFF2-40B4-BE49-F238E27FC236}">
              <a16:creationId xmlns:a16="http://schemas.microsoft.com/office/drawing/2014/main" id="{60C28A22-3DEB-4439-A0FA-00A26A7B6442}"/>
            </a:ext>
          </a:extLst>
        </xdr:cNvPr>
        <xdr:cNvGrpSpPr/>
      </xdr:nvGrpSpPr>
      <xdr:grpSpPr>
        <a:xfrm>
          <a:off x="5851070" y="1207227"/>
          <a:ext cx="2453640" cy="1127759"/>
          <a:chOff x="3140529" y="1261655"/>
          <a:chExt cx="2453640" cy="1127759"/>
        </a:xfrm>
      </xdr:grpSpPr>
      <xdr:sp macro="" textlink="">
        <xdr:nvSpPr>
          <xdr:cNvPr id="48" name="Rectangle: Rounded Corners 47">
            <a:extLst>
              <a:ext uri="{FF2B5EF4-FFF2-40B4-BE49-F238E27FC236}">
                <a16:creationId xmlns:a16="http://schemas.microsoft.com/office/drawing/2014/main" id="{79EA6007-1220-4D7E-880E-391BAB92F1BD}"/>
              </a:ext>
            </a:extLst>
          </xdr:cNvPr>
          <xdr:cNvSpPr/>
        </xdr:nvSpPr>
        <xdr:spPr>
          <a:xfrm>
            <a:off x="3140529" y="1261655"/>
            <a:ext cx="2453640" cy="1127759"/>
          </a:xfrm>
          <a:prstGeom prst="roundRect">
            <a:avLst>
              <a:gd name="adj" fmla="val 8551"/>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az-Latn-AZ" sz="1100" u="sng"/>
          </a:p>
        </xdr:txBody>
      </xdr:sp>
      <xdr:sp macro="" textlink="Analysis!B53">
        <xdr:nvSpPr>
          <xdr:cNvPr id="49" name="TextBox 48">
            <a:extLst>
              <a:ext uri="{FF2B5EF4-FFF2-40B4-BE49-F238E27FC236}">
                <a16:creationId xmlns:a16="http://schemas.microsoft.com/office/drawing/2014/main" id="{68FEFB50-CB9B-4C61-A1E8-11EE551DFA9E}"/>
              </a:ext>
            </a:extLst>
          </xdr:cNvPr>
          <xdr:cNvSpPr txBox="1"/>
        </xdr:nvSpPr>
        <xdr:spPr>
          <a:xfrm>
            <a:off x="3254828" y="1709057"/>
            <a:ext cx="1785257"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3058917-8C20-458C-99FC-7875B8B015D0}" type="TxLink">
              <a:rPr lang="en-US" sz="2200" b="1" i="0" u="none" strike="noStrike">
                <a:solidFill>
                  <a:srgbClr val="000000"/>
                </a:solidFill>
                <a:latin typeface="Times New Roman"/>
                <a:cs typeface="Times New Roman"/>
              </a:rPr>
              <a:t>20846,211</a:t>
            </a:fld>
            <a:r>
              <a:rPr lang="en-US" sz="2200" b="1" i="0" u="none" strike="noStrike">
                <a:solidFill>
                  <a:srgbClr val="000000"/>
                </a:solidFill>
                <a:latin typeface="Times New Roman"/>
                <a:cs typeface="Times New Roman"/>
              </a:rPr>
              <a:t> </a:t>
            </a:r>
            <a:r>
              <a:rPr lang="az-Latn-AZ" sz="2200" b="0" i="0">
                <a:solidFill>
                  <a:schemeClr val="dk1"/>
                </a:solidFill>
                <a:effectLst/>
                <a:latin typeface="+mn-lt"/>
                <a:ea typeface="+mn-ea"/>
                <a:cs typeface="+mn-cs"/>
              </a:rPr>
              <a:t>£</a:t>
            </a:r>
            <a:endParaRPr lang="en-US" sz="2200" b="1" i="0" u="none" strike="noStrike">
              <a:solidFill>
                <a:srgbClr val="000000"/>
              </a:solidFill>
              <a:latin typeface="Times New Roman" panose="02020603050405020304" pitchFamily="18" charset="0"/>
              <a:cs typeface="Times New Roman" panose="02020603050405020304" pitchFamily="18" charset="0"/>
            </a:endParaRPr>
          </a:p>
        </xdr:txBody>
      </xdr:sp>
      <xdr:sp macro="" textlink="">
        <xdr:nvSpPr>
          <xdr:cNvPr id="50" name="TextBox 49">
            <a:extLst>
              <a:ext uri="{FF2B5EF4-FFF2-40B4-BE49-F238E27FC236}">
                <a16:creationId xmlns:a16="http://schemas.microsoft.com/office/drawing/2014/main" id="{783FAEBA-B5DE-4144-8859-1D01EAE8518E}"/>
              </a:ext>
            </a:extLst>
          </xdr:cNvPr>
          <xdr:cNvSpPr txBox="1"/>
        </xdr:nvSpPr>
        <xdr:spPr>
          <a:xfrm>
            <a:off x="3189516" y="1360715"/>
            <a:ext cx="1807027" cy="3592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Times New Roman" panose="02020603050405020304" pitchFamily="18" charset="0"/>
                <a:cs typeface="Times New Roman" panose="02020603050405020304" pitchFamily="18" charset="0"/>
              </a:rPr>
              <a:t>TOTAL</a:t>
            </a:r>
            <a:r>
              <a:rPr lang="en-US" sz="1400" b="1" baseline="0">
                <a:latin typeface="Times New Roman" panose="02020603050405020304" pitchFamily="18" charset="0"/>
                <a:cs typeface="Times New Roman" panose="02020603050405020304" pitchFamily="18" charset="0"/>
              </a:rPr>
              <a:t> PROFIT</a:t>
            </a:r>
            <a:endParaRPr lang="az-Latn-AZ" sz="1400" b="1">
              <a:latin typeface="Times New Roman" panose="02020603050405020304" pitchFamily="18" charset="0"/>
              <a:cs typeface="Times New Roman" panose="02020603050405020304" pitchFamily="18" charset="0"/>
            </a:endParaRPr>
          </a:p>
        </xdr:txBody>
      </xdr:sp>
    </xdr:grpSp>
    <xdr:clientData/>
  </xdr:twoCellAnchor>
  <xdr:twoCellAnchor>
    <xdr:from>
      <xdr:col>13</xdr:col>
      <xdr:colOff>560614</xdr:colOff>
      <xdr:row>6</xdr:row>
      <xdr:rowOff>85998</xdr:rowOff>
    </xdr:from>
    <xdr:to>
      <xdr:col>17</xdr:col>
      <xdr:colOff>575854</xdr:colOff>
      <xdr:row>12</xdr:row>
      <xdr:rowOff>103414</xdr:rowOff>
    </xdr:to>
    <xdr:grpSp>
      <xdr:nvGrpSpPr>
        <xdr:cNvPr id="52" name="Group 51">
          <a:extLst>
            <a:ext uri="{FF2B5EF4-FFF2-40B4-BE49-F238E27FC236}">
              <a16:creationId xmlns:a16="http://schemas.microsoft.com/office/drawing/2014/main" id="{AE7047E0-C661-46C9-B4A9-A0F757A5F2E4}"/>
            </a:ext>
          </a:extLst>
        </xdr:cNvPr>
        <xdr:cNvGrpSpPr/>
      </xdr:nvGrpSpPr>
      <xdr:grpSpPr>
        <a:xfrm>
          <a:off x="8485414" y="1196341"/>
          <a:ext cx="2453640" cy="1127759"/>
          <a:chOff x="3140529" y="1261655"/>
          <a:chExt cx="2453640" cy="1127759"/>
        </a:xfrm>
      </xdr:grpSpPr>
      <xdr:sp macro="" textlink="">
        <xdr:nvSpPr>
          <xdr:cNvPr id="53" name="Rectangle: Rounded Corners 52">
            <a:extLst>
              <a:ext uri="{FF2B5EF4-FFF2-40B4-BE49-F238E27FC236}">
                <a16:creationId xmlns:a16="http://schemas.microsoft.com/office/drawing/2014/main" id="{90EF7130-3C22-4ECC-B1EA-18507DB3E12E}"/>
              </a:ext>
            </a:extLst>
          </xdr:cNvPr>
          <xdr:cNvSpPr/>
        </xdr:nvSpPr>
        <xdr:spPr>
          <a:xfrm>
            <a:off x="3140529" y="1261655"/>
            <a:ext cx="2453640" cy="1127759"/>
          </a:xfrm>
          <a:prstGeom prst="roundRect">
            <a:avLst>
              <a:gd name="adj" fmla="val 8551"/>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az-Latn-AZ" sz="1100" u="sng"/>
          </a:p>
        </xdr:txBody>
      </xdr:sp>
      <xdr:sp macro="" textlink="Analysis!B54">
        <xdr:nvSpPr>
          <xdr:cNvPr id="54" name="TextBox 53">
            <a:extLst>
              <a:ext uri="{FF2B5EF4-FFF2-40B4-BE49-F238E27FC236}">
                <a16:creationId xmlns:a16="http://schemas.microsoft.com/office/drawing/2014/main" id="{8B777956-9AE2-4E1F-B78F-0FC6C1105706}"/>
              </a:ext>
            </a:extLst>
          </xdr:cNvPr>
          <xdr:cNvSpPr txBox="1"/>
        </xdr:nvSpPr>
        <xdr:spPr>
          <a:xfrm>
            <a:off x="3211285" y="1719944"/>
            <a:ext cx="1785257"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CB3E78D-7664-431E-990C-A27599645D46}" type="TxLink">
              <a:rPr lang="en-US" sz="2200" b="1" i="0" u="none" strike="noStrike">
                <a:solidFill>
                  <a:srgbClr val="000000"/>
                </a:solidFill>
                <a:latin typeface="Times New Roman"/>
                <a:cs typeface="Times New Roman"/>
              </a:rPr>
              <a:t>17,67%</a:t>
            </a:fld>
            <a:endParaRPr lang="en-US" sz="2200" b="1" i="0" u="none" strike="noStrike">
              <a:solidFill>
                <a:srgbClr val="000000"/>
              </a:solidFill>
              <a:latin typeface="Times New Roman" panose="02020603050405020304" pitchFamily="18" charset="0"/>
              <a:cs typeface="Times New Roman" panose="02020603050405020304" pitchFamily="18" charset="0"/>
            </a:endParaRPr>
          </a:p>
        </xdr:txBody>
      </xdr:sp>
      <xdr:sp macro="" textlink="">
        <xdr:nvSpPr>
          <xdr:cNvPr id="55" name="TextBox 54">
            <a:extLst>
              <a:ext uri="{FF2B5EF4-FFF2-40B4-BE49-F238E27FC236}">
                <a16:creationId xmlns:a16="http://schemas.microsoft.com/office/drawing/2014/main" id="{63B79E0B-9C76-4218-B982-3099B2AA18E1}"/>
              </a:ext>
            </a:extLst>
          </xdr:cNvPr>
          <xdr:cNvSpPr txBox="1"/>
        </xdr:nvSpPr>
        <xdr:spPr>
          <a:xfrm>
            <a:off x="3189516" y="1360715"/>
            <a:ext cx="1807027" cy="3592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Times New Roman" panose="02020603050405020304" pitchFamily="18" charset="0"/>
                <a:cs typeface="Times New Roman" panose="02020603050405020304" pitchFamily="18" charset="0"/>
              </a:rPr>
              <a:t>PROFIT</a:t>
            </a:r>
            <a:r>
              <a:rPr lang="en-US" sz="1400" b="1" baseline="0">
                <a:latin typeface="Times New Roman" panose="02020603050405020304" pitchFamily="18" charset="0"/>
                <a:cs typeface="Times New Roman" panose="02020603050405020304" pitchFamily="18" charset="0"/>
              </a:rPr>
              <a:t> %</a:t>
            </a:r>
            <a:endParaRPr lang="az-Latn-AZ" sz="1400" b="1">
              <a:latin typeface="Times New Roman" panose="02020603050405020304" pitchFamily="18" charset="0"/>
              <a:cs typeface="Times New Roman" panose="02020603050405020304" pitchFamily="18" charset="0"/>
            </a:endParaRPr>
          </a:p>
        </xdr:txBody>
      </xdr:sp>
    </xdr:grpSp>
    <xdr:clientData/>
  </xdr:twoCellAnchor>
  <xdr:twoCellAnchor>
    <xdr:from>
      <xdr:col>18</xdr:col>
      <xdr:colOff>152401</xdr:colOff>
      <xdr:row>6</xdr:row>
      <xdr:rowOff>107769</xdr:rowOff>
    </xdr:from>
    <xdr:to>
      <xdr:col>22</xdr:col>
      <xdr:colOff>195943</xdr:colOff>
      <xdr:row>12</xdr:row>
      <xdr:rowOff>125185</xdr:rowOff>
    </xdr:to>
    <xdr:grpSp>
      <xdr:nvGrpSpPr>
        <xdr:cNvPr id="57" name="Group 56">
          <a:extLst>
            <a:ext uri="{FF2B5EF4-FFF2-40B4-BE49-F238E27FC236}">
              <a16:creationId xmlns:a16="http://schemas.microsoft.com/office/drawing/2014/main" id="{5CF448A8-541C-4DDA-87B1-2BC081E52A9D}"/>
            </a:ext>
          </a:extLst>
        </xdr:cNvPr>
        <xdr:cNvGrpSpPr/>
      </xdr:nvGrpSpPr>
      <xdr:grpSpPr>
        <a:xfrm>
          <a:off x="11125201" y="1218112"/>
          <a:ext cx="2481942" cy="1127759"/>
          <a:chOff x="3135087" y="1261655"/>
          <a:chExt cx="2623456" cy="1127759"/>
        </a:xfrm>
      </xdr:grpSpPr>
      <xdr:sp macro="" textlink="">
        <xdr:nvSpPr>
          <xdr:cNvPr id="58" name="Rectangle: Rounded Corners 57">
            <a:extLst>
              <a:ext uri="{FF2B5EF4-FFF2-40B4-BE49-F238E27FC236}">
                <a16:creationId xmlns:a16="http://schemas.microsoft.com/office/drawing/2014/main" id="{A0CA9669-3CB1-4BFD-8C32-E7D8C29E9BBC}"/>
              </a:ext>
            </a:extLst>
          </xdr:cNvPr>
          <xdr:cNvSpPr/>
        </xdr:nvSpPr>
        <xdr:spPr>
          <a:xfrm>
            <a:off x="3140529" y="1261655"/>
            <a:ext cx="2618014" cy="1127759"/>
          </a:xfrm>
          <a:prstGeom prst="roundRect">
            <a:avLst>
              <a:gd name="adj" fmla="val 8551"/>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az-Latn-AZ" sz="1100" u="sng"/>
          </a:p>
        </xdr:txBody>
      </xdr:sp>
      <xdr:sp macro="" textlink="Analysis!A47">
        <xdr:nvSpPr>
          <xdr:cNvPr id="59" name="TextBox 58">
            <a:extLst>
              <a:ext uri="{FF2B5EF4-FFF2-40B4-BE49-F238E27FC236}">
                <a16:creationId xmlns:a16="http://schemas.microsoft.com/office/drawing/2014/main" id="{91CA1B99-4F2B-41BD-986C-805F8FEDCA3C}"/>
              </a:ext>
            </a:extLst>
          </xdr:cNvPr>
          <xdr:cNvSpPr txBox="1"/>
        </xdr:nvSpPr>
        <xdr:spPr>
          <a:xfrm>
            <a:off x="3189514" y="1698172"/>
            <a:ext cx="1785257"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BEFE484-3177-4DA5-BD77-29B2288E4BB7}" type="TxLink">
              <a:rPr lang="en-US" sz="2200" b="1" i="0" u="none" strike="noStrike">
                <a:solidFill>
                  <a:srgbClr val="000000"/>
                </a:solidFill>
                <a:latin typeface="Calibri"/>
                <a:cs typeface="Calibri"/>
              </a:rPr>
              <a:t>100881,326</a:t>
            </a:fld>
            <a:r>
              <a:rPr lang="en-US" sz="2200" b="1" i="0" u="none" strike="noStrike">
                <a:solidFill>
                  <a:srgbClr val="000000"/>
                </a:solidFill>
                <a:latin typeface="Calibri"/>
                <a:cs typeface="Calibri"/>
              </a:rPr>
              <a:t> </a:t>
            </a:r>
            <a:r>
              <a:rPr lang="az-Latn-AZ" sz="2200" b="0" i="0">
                <a:solidFill>
                  <a:schemeClr val="dk1"/>
                </a:solidFill>
                <a:effectLst/>
                <a:latin typeface="+mn-lt"/>
                <a:ea typeface="+mn-ea"/>
                <a:cs typeface="+mn-cs"/>
              </a:rPr>
              <a:t>£</a:t>
            </a:r>
            <a:endParaRPr lang="en-US" sz="2200" b="1" i="0" u="none" strike="noStrike">
              <a:solidFill>
                <a:srgbClr val="000000"/>
              </a:solidFill>
              <a:latin typeface="Times New Roman" panose="02020603050405020304" pitchFamily="18" charset="0"/>
              <a:cs typeface="Times New Roman" panose="02020603050405020304" pitchFamily="18" charset="0"/>
            </a:endParaRPr>
          </a:p>
        </xdr:txBody>
      </xdr:sp>
      <xdr:sp macro="" textlink="">
        <xdr:nvSpPr>
          <xdr:cNvPr id="60" name="TextBox 59">
            <a:extLst>
              <a:ext uri="{FF2B5EF4-FFF2-40B4-BE49-F238E27FC236}">
                <a16:creationId xmlns:a16="http://schemas.microsoft.com/office/drawing/2014/main" id="{8D750713-6FF3-46A0-AA80-0C639F51BD39}"/>
              </a:ext>
            </a:extLst>
          </xdr:cNvPr>
          <xdr:cNvSpPr txBox="1"/>
        </xdr:nvSpPr>
        <xdr:spPr>
          <a:xfrm>
            <a:off x="3135087" y="1349829"/>
            <a:ext cx="1915884" cy="3592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Times New Roman" panose="02020603050405020304" pitchFamily="18" charset="0"/>
                <a:cs typeface="Times New Roman" panose="02020603050405020304" pitchFamily="18" charset="0"/>
              </a:rPr>
              <a:t>TOTAL</a:t>
            </a:r>
            <a:r>
              <a:rPr lang="en-US" sz="1400" b="1" baseline="0">
                <a:latin typeface="Times New Roman" panose="02020603050405020304" pitchFamily="18" charset="0"/>
                <a:cs typeface="Times New Roman" panose="02020603050405020304" pitchFamily="18" charset="0"/>
              </a:rPr>
              <a:t> UNIT SOLD</a:t>
            </a:r>
            <a:endParaRPr lang="az-Latn-AZ" sz="1400" b="1">
              <a:latin typeface="Times New Roman" panose="02020603050405020304" pitchFamily="18" charset="0"/>
              <a:cs typeface="Times New Roman" panose="02020603050405020304" pitchFamily="18" charset="0"/>
            </a:endParaRPr>
          </a:p>
        </xdr:txBody>
      </xdr:sp>
    </xdr:grpSp>
    <xdr:clientData/>
  </xdr:twoCellAnchor>
  <xdr:twoCellAnchor editAs="oneCell">
    <xdr:from>
      <xdr:col>12</xdr:col>
      <xdr:colOff>408857</xdr:colOff>
      <xdr:row>6</xdr:row>
      <xdr:rowOff>114943</xdr:rowOff>
    </xdr:from>
    <xdr:to>
      <xdr:col>13</xdr:col>
      <xdr:colOff>382457</xdr:colOff>
      <xdr:row>9</xdr:row>
      <xdr:rowOff>142972</xdr:rowOff>
    </xdr:to>
    <xdr:pic>
      <xdr:nvPicPr>
        <xdr:cNvPr id="39" name="Graphic 38" descr="Bar graph with upward trend with solid fill">
          <a:extLst>
            <a:ext uri="{FF2B5EF4-FFF2-40B4-BE49-F238E27FC236}">
              <a16:creationId xmlns:a16="http://schemas.microsoft.com/office/drawing/2014/main" id="{B34FBEDD-24F2-45E7-820C-578B15283DDD}"/>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7724057" y="1225286"/>
          <a:ext cx="583200" cy="583200"/>
        </a:xfrm>
        <a:prstGeom prst="rect">
          <a:avLst/>
        </a:prstGeom>
      </xdr:spPr>
    </xdr:pic>
    <xdr:clientData/>
  </xdr:twoCellAnchor>
  <xdr:twoCellAnchor editAs="oneCell">
    <xdr:from>
      <xdr:col>16</xdr:col>
      <xdr:colOff>533400</xdr:colOff>
      <xdr:row>6</xdr:row>
      <xdr:rowOff>108857</xdr:rowOff>
    </xdr:from>
    <xdr:to>
      <xdr:col>17</xdr:col>
      <xdr:colOff>507000</xdr:colOff>
      <xdr:row>9</xdr:row>
      <xdr:rowOff>136886</xdr:rowOff>
    </xdr:to>
    <xdr:pic>
      <xdr:nvPicPr>
        <xdr:cNvPr id="63" name="Graphic 62" descr="Coins with solid fill">
          <a:extLst>
            <a:ext uri="{FF2B5EF4-FFF2-40B4-BE49-F238E27FC236}">
              <a16:creationId xmlns:a16="http://schemas.microsoft.com/office/drawing/2014/main" id="{0F32A546-768F-403F-9C51-F4229C9C43F5}"/>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0287000" y="1219200"/>
          <a:ext cx="583200" cy="583200"/>
        </a:xfrm>
        <a:prstGeom prst="rect">
          <a:avLst/>
        </a:prstGeom>
      </xdr:spPr>
    </xdr:pic>
    <xdr:clientData/>
  </xdr:twoCellAnchor>
  <xdr:twoCellAnchor editAs="oneCell">
    <xdr:from>
      <xdr:col>21</xdr:col>
      <xdr:colOff>206829</xdr:colOff>
      <xdr:row>6</xdr:row>
      <xdr:rowOff>108857</xdr:rowOff>
    </xdr:from>
    <xdr:to>
      <xdr:col>22</xdr:col>
      <xdr:colOff>180429</xdr:colOff>
      <xdr:row>9</xdr:row>
      <xdr:rowOff>136886</xdr:rowOff>
    </xdr:to>
    <xdr:pic>
      <xdr:nvPicPr>
        <xdr:cNvPr id="35" name="Graphic 34" descr="Shopping cart with solid fill">
          <a:extLst>
            <a:ext uri="{FF2B5EF4-FFF2-40B4-BE49-F238E27FC236}">
              <a16:creationId xmlns:a16="http://schemas.microsoft.com/office/drawing/2014/main" id="{CF29C1C2-5A7D-495A-BA10-ABCE89B65E1B}"/>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3008429" y="1219200"/>
          <a:ext cx="583200" cy="583200"/>
        </a:xfrm>
        <a:prstGeom prst="rect">
          <a:avLst/>
        </a:prstGeom>
      </xdr:spPr>
    </xdr:pic>
    <xdr:clientData/>
  </xdr:twoCellAnchor>
  <xdr:twoCellAnchor>
    <xdr:from>
      <xdr:col>5</xdr:col>
      <xdr:colOff>217715</xdr:colOff>
      <xdr:row>14</xdr:row>
      <xdr:rowOff>54429</xdr:rowOff>
    </xdr:from>
    <xdr:to>
      <xdr:col>9</xdr:col>
      <xdr:colOff>239485</xdr:colOff>
      <xdr:row>16</xdr:row>
      <xdr:rowOff>97972</xdr:rowOff>
    </xdr:to>
    <xdr:sp macro="" textlink="">
      <xdr:nvSpPr>
        <xdr:cNvPr id="64" name="TextBox 63">
          <a:extLst>
            <a:ext uri="{FF2B5EF4-FFF2-40B4-BE49-F238E27FC236}">
              <a16:creationId xmlns:a16="http://schemas.microsoft.com/office/drawing/2014/main" id="{0DC7BE2C-19C9-489A-A301-71314F3A4BB3}"/>
            </a:ext>
          </a:extLst>
        </xdr:cNvPr>
        <xdr:cNvSpPr txBox="1"/>
      </xdr:nvSpPr>
      <xdr:spPr>
        <a:xfrm>
          <a:off x="3265715" y="2645229"/>
          <a:ext cx="2460170" cy="413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TOTAL</a:t>
          </a:r>
          <a:r>
            <a:rPr lang="en-US" sz="1200" b="1" baseline="0"/>
            <a:t> REVENUE VS ACTUAL</a:t>
          </a:r>
          <a:endParaRPr lang="az-Latn-AZ" sz="1200" b="1"/>
        </a:p>
      </xdr:txBody>
    </xdr:sp>
    <xdr:clientData/>
  </xdr:twoCellAnchor>
  <xdr:twoCellAnchor>
    <xdr:from>
      <xdr:col>5</xdr:col>
      <xdr:colOff>218803</xdr:colOff>
      <xdr:row>15</xdr:row>
      <xdr:rowOff>107768</xdr:rowOff>
    </xdr:from>
    <xdr:to>
      <xdr:col>13</xdr:col>
      <xdr:colOff>566057</xdr:colOff>
      <xdr:row>24</xdr:row>
      <xdr:rowOff>87086</xdr:rowOff>
    </xdr:to>
    <xdr:graphicFrame macro="">
      <xdr:nvGraphicFramePr>
        <xdr:cNvPr id="65" name="Chart 64">
          <a:extLst>
            <a:ext uri="{FF2B5EF4-FFF2-40B4-BE49-F238E27FC236}">
              <a16:creationId xmlns:a16="http://schemas.microsoft.com/office/drawing/2014/main" id="{96D57BAD-71A2-4558-9680-54A86E0656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21772</xdr:colOff>
      <xdr:row>25</xdr:row>
      <xdr:rowOff>152400</xdr:rowOff>
    </xdr:from>
    <xdr:to>
      <xdr:col>21</xdr:col>
      <xdr:colOff>43542</xdr:colOff>
      <xdr:row>28</xdr:row>
      <xdr:rowOff>10886</xdr:rowOff>
    </xdr:to>
    <xdr:sp macro="" textlink="">
      <xdr:nvSpPr>
        <xdr:cNvPr id="66" name="TextBox 65">
          <a:extLst>
            <a:ext uri="{FF2B5EF4-FFF2-40B4-BE49-F238E27FC236}">
              <a16:creationId xmlns:a16="http://schemas.microsoft.com/office/drawing/2014/main" id="{D4E7AF19-8E02-42F0-B936-E1FC61389321}"/>
            </a:ext>
          </a:extLst>
        </xdr:cNvPr>
        <xdr:cNvSpPr txBox="1"/>
      </xdr:nvSpPr>
      <xdr:spPr>
        <a:xfrm>
          <a:off x="10384972" y="4778829"/>
          <a:ext cx="2460170" cy="413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UNITS</a:t>
          </a:r>
          <a:r>
            <a:rPr lang="en-US" sz="1200" b="1" baseline="0"/>
            <a:t> SOLD BY PRODUCT</a:t>
          </a:r>
          <a:endParaRPr lang="az-Latn-AZ" sz="1200" b="1"/>
        </a:p>
      </xdr:txBody>
    </xdr:sp>
    <xdr:clientData/>
  </xdr:twoCellAnchor>
  <xdr:twoCellAnchor>
    <xdr:from>
      <xdr:col>5</xdr:col>
      <xdr:colOff>174171</xdr:colOff>
      <xdr:row>27</xdr:row>
      <xdr:rowOff>26128</xdr:rowOff>
    </xdr:from>
    <xdr:to>
      <xdr:col>10</xdr:col>
      <xdr:colOff>272142</xdr:colOff>
      <xdr:row>36</xdr:row>
      <xdr:rowOff>152401</xdr:rowOff>
    </xdr:to>
    <xdr:graphicFrame macro="">
      <xdr:nvGraphicFramePr>
        <xdr:cNvPr id="67" name="Chart 66">
          <a:extLst>
            <a:ext uri="{FF2B5EF4-FFF2-40B4-BE49-F238E27FC236}">
              <a16:creationId xmlns:a16="http://schemas.microsoft.com/office/drawing/2014/main" id="{43CA760C-69B3-441C-BFE2-76F9C5B391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239487</xdr:colOff>
      <xdr:row>26</xdr:row>
      <xdr:rowOff>32657</xdr:rowOff>
    </xdr:from>
    <xdr:to>
      <xdr:col>15</xdr:col>
      <xdr:colOff>261257</xdr:colOff>
      <xdr:row>28</xdr:row>
      <xdr:rowOff>76200</xdr:rowOff>
    </xdr:to>
    <xdr:sp macro="" textlink="">
      <xdr:nvSpPr>
        <xdr:cNvPr id="72" name="TextBox 71">
          <a:extLst>
            <a:ext uri="{FF2B5EF4-FFF2-40B4-BE49-F238E27FC236}">
              <a16:creationId xmlns:a16="http://schemas.microsoft.com/office/drawing/2014/main" id="{DA5BAC88-A93A-4595-A77A-B735AD9CD07A}"/>
            </a:ext>
          </a:extLst>
        </xdr:cNvPr>
        <xdr:cNvSpPr txBox="1"/>
      </xdr:nvSpPr>
      <xdr:spPr>
        <a:xfrm>
          <a:off x="6945087" y="4844143"/>
          <a:ext cx="2460170" cy="413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t>REVENUE BY SEGMENTS</a:t>
          </a:r>
          <a:endParaRPr lang="az-Latn-AZ" sz="1200" b="1"/>
        </a:p>
      </xdr:txBody>
    </xdr:sp>
    <xdr:clientData/>
  </xdr:twoCellAnchor>
  <xdr:twoCellAnchor>
    <xdr:from>
      <xdr:col>11</xdr:col>
      <xdr:colOff>97971</xdr:colOff>
      <xdr:row>25</xdr:row>
      <xdr:rowOff>87085</xdr:rowOff>
    </xdr:from>
    <xdr:to>
      <xdr:col>16</xdr:col>
      <xdr:colOff>337457</xdr:colOff>
      <xdr:row>38</xdr:row>
      <xdr:rowOff>54429</xdr:rowOff>
    </xdr:to>
    <xdr:graphicFrame macro="">
      <xdr:nvGraphicFramePr>
        <xdr:cNvPr id="73" name="Chart 72">
          <a:extLst>
            <a:ext uri="{FF2B5EF4-FFF2-40B4-BE49-F238E27FC236}">
              <a16:creationId xmlns:a16="http://schemas.microsoft.com/office/drawing/2014/main" id="{6FC6946F-BFA3-4E12-BBEF-31B7428CAF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14</xdr:col>
      <xdr:colOff>555171</xdr:colOff>
      <xdr:row>14</xdr:row>
      <xdr:rowOff>43543</xdr:rowOff>
    </xdr:from>
    <xdr:to>
      <xdr:col>18</xdr:col>
      <xdr:colOff>576941</xdr:colOff>
      <xdr:row>16</xdr:row>
      <xdr:rowOff>87086</xdr:rowOff>
    </xdr:to>
    <xdr:sp macro="" textlink="">
      <xdr:nvSpPr>
        <xdr:cNvPr id="74" name="TextBox 73">
          <a:extLst>
            <a:ext uri="{FF2B5EF4-FFF2-40B4-BE49-F238E27FC236}">
              <a16:creationId xmlns:a16="http://schemas.microsoft.com/office/drawing/2014/main" id="{9555884C-19EC-4082-BACA-98010556E3C9}"/>
            </a:ext>
          </a:extLst>
        </xdr:cNvPr>
        <xdr:cNvSpPr txBox="1"/>
      </xdr:nvSpPr>
      <xdr:spPr>
        <a:xfrm>
          <a:off x="9089571" y="2634343"/>
          <a:ext cx="2460170" cy="413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t>PROFIT BY PRODUCTS</a:t>
          </a:r>
          <a:endParaRPr lang="az-Latn-AZ" sz="1200" b="1"/>
        </a:p>
      </xdr:txBody>
    </xdr:sp>
    <xdr:clientData/>
  </xdr:twoCellAnchor>
  <xdr:twoCellAnchor>
    <xdr:from>
      <xdr:col>16</xdr:col>
      <xdr:colOff>609599</xdr:colOff>
      <xdr:row>27</xdr:row>
      <xdr:rowOff>10886</xdr:rowOff>
    </xdr:from>
    <xdr:to>
      <xdr:col>23</xdr:col>
      <xdr:colOff>185057</xdr:colOff>
      <xdr:row>36</xdr:row>
      <xdr:rowOff>87086</xdr:rowOff>
    </xdr:to>
    <xdr:graphicFrame macro="">
      <xdr:nvGraphicFramePr>
        <xdr:cNvPr id="75" name="Chart 74">
          <a:extLst>
            <a:ext uri="{FF2B5EF4-FFF2-40B4-BE49-F238E27FC236}">
              <a16:creationId xmlns:a16="http://schemas.microsoft.com/office/drawing/2014/main" id="{B4C263E9-362A-404B-8211-2223CE5740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340722</xdr:colOff>
      <xdr:row>15</xdr:row>
      <xdr:rowOff>15528</xdr:rowOff>
    </xdr:from>
    <xdr:to>
      <xdr:col>22</xdr:col>
      <xdr:colOff>35922</xdr:colOff>
      <xdr:row>25</xdr:row>
      <xdr:rowOff>54428</xdr:rowOff>
    </xdr:to>
    <xdr:graphicFrame macro="">
      <xdr:nvGraphicFramePr>
        <xdr:cNvPr id="76" name="Chart 75">
          <a:extLst>
            <a:ext uri="{FF2B5EF4-FFF2-40B4-BE49-F238E27FC236}">
              <a16:creationId xmlns:a16="http://schemas.microsoft.com/office/drawing/2014/main" id="{32AA6B75-997F-41B0-A8B4-5082B352C4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43545</xdr:colOff>
      <xdr:row>14</xdr:row>
      <xdr:rowOff>54430</xdr:rowOff>
    </xdr:from>
    <xdr:to>
      <xdr:col>20</xdr:col>
      <xdr:colOff>163289</xdr:colOff>
      <xdr:row>17</xdr:row>
      <xdr:rowOff>108858</xdr:rowOff>
    </xdr:to>
    <xdr:grpSp>
      <xdr:nvGrpSpPr>
        <xdr:cNvPr id="82" name="Group 81">
          <a:extLst>
            <a:ext uri="{FF2B5EF4-FFF2-40B4-BE49-F238E27FC236}">
              <a16:creationId xmlns:a16="http://schemas.microsoft.com/office/drawing/2014/main" id="{0872316F-5847-4E47-A364-3B0B6334BDB4}"/>
            </a:ext>
          </a:extLst>
        </xdr:cNvPr>
        <xdr:cNvGrpSpPr/>
      </xdr:nvGrpSpPr>
      <xdr:grpSpPr>
        <a:xfrm>
          <a:off x="11016345" y="2645230"/>
          <a:ext cx="1338944" cy="609599"/>
          <a:chOff x="11114314" y="2645230"/>
          <a:chExt cx="1572338" cy="544283"/>
        </a:xfrm>
      </xdr:grpSpPr>
      <xdr:cxnSp macro="">
        <xdr:nvCxnSpPr>
          <xdr:cNvPr id="78" name="Straight Connector 77">
            <a:extLst>
              <a:ext uri="{FF2B5EF4-FFF2-40B4-BE49-F238E27FC236}">
                <a16:creationId xmlns:a16="http://schemas.microsoft.com/office/drawing/2014/main" id="{FAECE7A7-D812-4C7E-A9F4-03AE1346E493}"/>
              </a:ext>
            </a:extLst>
          </xdr:cNvPr>
          <xdr:cNvCxnSpPr/>
        </xdr:nvCxnSpPr>
        <xdr:spPr>
          <a:xfrm>
            <a:off x="11114314" y="2699658"/>
            <a:ext cx="10885" cy="348343"/>
          </a:xfrm>
          <a:prstGeom prst="line">
            <a:avLst/>
          </a:prstGeom>
          <a:ln w="38100"/>
        </xdr:spPr>
        <xdr:style>
          <a:lnRef idx="1">
            <a:schemeClr val="accent1"/>
          </a:lnRef>
          <a:fillRef idx="0">
            <a:schemeClr val="accent1"/>
          </a:fillRef>
          <a:effectRef idx="0">
            <a:schemeClr val="accent1"/>
          </a:effectRef>
          <a:fontRef idx="minor">
            <a:schemeClr val="tx1"/>
          </a:fontRef>
        </xdr:style>
      </xdr:cxnSp>
      <xdr:sp macro="" textlink="">
        <xdr:nvSpPr>
          <xdr:cNvPr id="79" name="TextBox 78">
            <a:extLst>
              <a:ext uri="{FF2B5EF4-FFF2-40B4-BE49-F238E27FC236}">
                <a16:creationId xmlns:a16="http://schemas.microsoft.com/office/drawing/2014/main" id="{72DF71BB-A987-4502-BACB-60967B20B3CE}"/>
              </a:ext>
            </a:extLst>
          </xdr:cNvPr>
          <xdr:cNvSpPr txBox="1"/>
        </xdr:nvSpPr>
        <xdr:spPr>
          <a:xfrm>
            <a:off x="11157857" y="2645230"/>
            <a:ext cx="1221996" cy="184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Times New Roman" panose="02020603050405020304" pitchFamily="18" charset="0"/>
                <a:cs typeface="Times New Roman" panose="02020603050405020304" pitchFamily="18" charset="0"/>
              </a:rPr>
              <a:t>City Cruiser</a:t>
            </a:r>
            <a:endParaRPr lang="az-Latn-AZ" sz="1100" b="1">
              <a:latin typeface="Times New Roman" panose="02020603050405020304" pitchFamily="18" charset="0"/>
              <a:cs typeface="Times New Roman" panose="02020603050405020304" pitchFamily="18" charset="0"/>
            </a:endParaRPr>
          </a:p>
        </xdr:txBody>
      </xdr:sp>
      <xdr:sp macro="" textlink="Analysis!K24">
        <xdr:nvSpPr>
          <xdr:cNvPr id="80" name="TextBox 79">
            <a:extLst>
              <a:ext uri="{FF2B5EF4-FFF2-40B4-BE49-F238E27FC236}">
                <a16:creationId xmlns:a16="http://schemas.microsoft.com/office/drawing/2014/main" id="{D89F309A-E1AE-4F75-9EE9-FDE4172E2426}"/>
              </a:ext>
            </a:extLst>
          </xdr:cNvPr>
          <xdr:cNvSpPr txBox="1"/>
        </xdr:nvSpPr>
        <xdr:spPr>
          <a:xfrm>
            <a:off x="11179628" y="2862942"/>
            <a:ext cx="925286" cy="326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0E7C638-91D4-431B-98DB-9AEE8AE73405}" type="TxLink">
              <a:rPr lang="en-US" sz="1100" b="1" i="0" u="none" strike="noStrike">
                <a:solidFill>
                  <a:srgbClr val="000000"/>
                </a:solidFill>
                <a:latin typeface="Times New Roman" panose="02020603050405020304" pitchFamily="18" charset="0"/>
                <a:cs typeface="Times New Roman" panose="02020603050405020304" pitchFamily="18" charset="0"/>
              </a:rPr>
              <a:t>32667,5</a:t>
            </a:fld>
            <a:endParaRPr lang="az-Latn-AZ" sz="1100" b="1">
              <a:latin typeface="Times New Roman" panose="02020603050405020304" pitchFamily="18" charset="0"/>
              <a:cs typeface="Times New Roman" panose="02020603050405020304" pitchFamily="18" charset="0"/>
            </a:endParaRPr>
          </a:p>
        </xdr:txBody>
      </xdr:sp>
      <xdr:sp macro="" textlink="Analysis!L24">
        <xdr:nvSpPr>
          <xdr:cNvPr id="81" name="TextBox 80">
            <a:extLst>
              <a:ext uri="{FF2B5EF4-FFF2-40B4-BE49-F238E27FC236}">
                <a16:creationId xmlns:a16="http://schemas.microsoft.com/office/drawing/2014/main" id="{A7001A38-2DC6-425A-9615-0616F6FF8B36}"/>
              </a:ext>
            </a:extLst>
          </xdr:cNvPr>
          <xdr:cNvSpPr txBox="1"/>
        </xdr:nvSpPr>
        <xdr:spPr>
          <a:xfrm>
            <a:off x="11800114" y="2819402"/>
            <a:ext cx="886538" cy="243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E9690A4-0284-449E-92AB-0C073C0987E3}" type="TxLink">
              <a:rPr lang="en-US" sz="1100" b="1" i="0" u="none" strike="noStrike">
                <a:solidFill>
                  <a:srgbClr val="000000"/>
                </a:solidFill>
                <a:latin typeface="Times New Roman" panose="02020603050405020304" pitchFamily="18" charset="0"/>
                <a:cs typeface="Times New Roman" panose="02020603050405020304" pitchFamily="18" charset="0"/>
              </a:rPr>
              <a:t>27,70%</a:t>
            </a:fld>
            <a:endParaRPr lang="az-Latn-AZ" sz="1100">
              <a:latin typeface="Times New Roman" panose="02020603050405020304" pitchFamily="18" charset="0"/>
              <a:cs typeface="Times New Roman" panose="02020603050405020304" pitchFamily="18" charset="0"/>
            </a:endParaRPr>
          </a:p>
        </xdr:txBody>
      </xdr:sp>
    </xdr:grpSp>
    <xdr:clientData/>
  </xdr:twoCellAnchor>
  <xdr:twoCellAnchor>
    <xdr:from>
      <xdr:col>18</xdr:col>
      <xdr:colOff>65314</xdr:colOff>
      <xdr:row>17</xdr:row>
      <xdr:rowOff>97974</xdr:rowOff>
    </xdr:from>
    <xdr:to>
      <xdr:col>20</xdr:col>
      <xdr:colOff>87086</xdr:colOff>
      <xdr:row>20</xdr:row>
      <xdr:rowOff>54429</xdr:rowOff>
    </xdr:to>
    <xdr:grpSp>
      <xdr:nvGrpSpPr>
        <xdr:cNvPr id="83" name="Group 82">
          <a:extLst>
            <a:ext uri="{FF2B5EF4-FFF2-40B4-BE49-F238E27FC236}">
              <a16:creationId xmlns:a16="http://schemas.microsoft.com/office/drawing/2014/main" id="{D80BC1B9-6C4A-4A02-8871-4FA311138266}"/>
            </a:ext>
          </a:extLst>
        </xdr:cNvPr>
        <xdr:cNvGrpSpPr/>
      </xdr:nvGrpSpPr>
      <xdr:grpSpPr>
        <a:xfrm>
          <a:off x="11038114" y="3243945"/>
          <a:ext cx="1240972" cy="511627"/>
          <a:chOff x="11114314" y="2645230"/>
          <a:chExt cx="1393372" cy="544283"/>
        </a:xfrm>
      </xdr:grpSpPr>
      <xdr:cxnSp macro="">
        <xdr:nvCxnSpPr>
          <xdr:cNvPr id="84" name="Straight Connector 83">
            <a:extLst>
              <a:ext uri="{FF2B5EF4-FFF2-40B4-BE49-F238E27FC236}">
                <a16:creationId xmlns:a16="http://schemas.microsoft.com/office/drawing/2014/main" id="{86650989-E82C-48C0-9D62-62783F75B9D3}"/>
              </a:ext>
            </a:extLst>
          </xdr:cNvPr>
          <xdr:cNvCxnSpPr/>
        </xdr:nvCxnSpPr>
        <xdr:spPr>
          <a:xfrm>
            <a:off x="11114314" y="2699658"/>
            <a:ext cx="10885" cy="348343"/>
          </a:xfrm>
          <a:prstGeom prst="line">
            <a:avLst/>
          </a:prstGeom>
          <a:ln w="38100">
            <a:solidFill>
              <a:schemeClr val="accent2"/>
            </a:solidFill>
          </a:ln>
        </xdr:spPr>
        <xdr:style>
          <a:lnRef idx="1">
            <a:schemeClr val="accent1"/>
          </a:lnRef>
          <a:fillRef idx="0">
            <a:schemeClr val="accent1"/>
          </a:fillRef>
          <a:effectRef idx="0">
            <a:schemeClr val="accent1"/>
          </a:effectRef>
          <a:fontRef idx="minor">
            <a:schemeClr val="tx1"/>
          </a:fontRef>
        </xdr:style>
      </xdr:cxnSp>
      <xdr:sp macro="" textlink="">
        <xdr:nvSpPr>
          <xdr:cNvPr id="85" name="TextBox 84">
            <a:extLst>
              <a:ext uri="{FF2B5EF4-FFF2-40B4-BE49-F238E27FC236}">
                <a16:creationId xmlns:a16="http://schemas.microsoft.com/office/drawing/2014/main" id="{78E24E74-2B4C-4F6F-AF7F-66636ABBEF0C}"/>
              </a:ext>
            </a:extLst>
          </xdr:cNvPr>
          <xdr:cNvSpPr txBox="1"/>
        </xdr:nvSpPr>
        <xdr:spPr>
          <a:xfrm>
            <a:off x="11157857" y="2645230"/>
            <a:ext cx="1337498" cy="231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Times New Roman" panose="02020603050405020304" pitchFamily="18" charset="0"/>
                <a:cs typeface="Times New Roman" panose="02020603050405020304" pitchFamily="18" charset="0"/>
              </a:rPr>
              <a:t>X</a:t>
            </a:r>
            <a:r>
              <a:rPr lang="en-US" sz="1100" b="1" baseline="0">
                <a:latin typeface="Times New Roman" panose="02020603050405020304" pitchFamily="18" charset="0"/>
                <a:cs typeface="Times New Roman" panose="02020603050405020304" pitchFamily="18" charset="0"/>
              </a:rPr>
              <a:t> -Terrain</a:t>
            </a:r>
            <a:endParaRPr lang="az-Latn-AZ" sz="1100" b="1">
              <a:latin typeface="Times New Roman" panose="02020603050405020304" pitchFamily="18" charset="0"/>
              <a:cs typeface="Times New Roman" panose="02020603050405020304" pitchFamily="18" charset="0"/>
            </a:endParaRPr>
          </a:p>
        </xdr:txBody>
      </xdr:sp>
      <xdr:sp macro="" textlink="Analysis!K25">
        <xdr:nvSpPr>
          <xdr:cNvPr id="86" name="TextBox 85">
            <a:extLst>
              <a:ext uri="{FF2B5EF4-FFF2-40B4-BE49-F238E27FC236}">
                <a16:creationId xmlns:a16="http://schemas.microsoft.com/office/drawing/2014/main" id="{BC3D136D-C393-4DAE-AE1D-4FE7783D295B}"/>
              </a:ext>
            </a:extLst>
          </xdr:cNvPr>
          <xdr:cNvSpPr txBox="1"/>
        </xdr:nvSpPr>
        <xdr:spPr>
          <a:xfrm>
            <a:off x="11249951" y="2911579"/>
            <a:ext cx="854962" cy="277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5147DC0-9C1D-491A-BFA1-6C12013DA8B2}" type="TxLink">
              <a:rPr lang="en-US" sz="1100" b="1" i="0" u="none" strike="noStrike">
                <a:solidFill>
                  <a:srgbClr val="000000"/>
                </a:solidFill>
                <a:latin typeface="Times New Roman" panose="02020603050405020304" pitchFamily="18" charset="0"/>
                <a:cs typeface="Times New Roman" panose="02020603050405020304" pitchFamily="18" charset="0"/>
              </a:rPr>
              <a:t>17550,1</a:t>
            </a:fld>
            <a:endParaRPr lang="az-Latn-AZ" sz="1100" b="1">
              <a:latin typeface="Times New Roman" panose="02020603050405020304" pitchFamily="18" charset="0"/>
              <a:cs typeface="Times New Roman" panose="02020603050405020304" pitchFamily="18" charset="0"/>
            </a:endParaRPr>
          </a:p>
        </xdr:txBody>
      </xdr:sp>
      <xdr:sp macro="" textlink="Analysis!L25">
        <xdr:nvSpPr>
          <xdr:cNvPr id="87" name="TextBox 86">
            <a:extLst>
              <a:ext uri="{FF2B5EF4-FFF2-40B4-BE49-F238E27FC236}">
                <a16:creationId xmlns:a16="http://schemas.microsoft.com/office/drawing/2014/main" id="{207806A2-959A-4890-9EB6-961361A735BC}"/>
              </a:ext>
            </a:extLst>
          </xdr:cNvPr>
          <xdr:cNvSpPr txBox="1"/>
        </xdr:nvSpPr>
        <xdr:spPr>
          <a:xfrm>
            <a:off x="11800114" y="2819401"/>
            <a:ext cx="707572" cy="2939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43CD937-EBA7-4AB8-9AB0-175CDFC43FF6}" type="TxLink">
              <a:rPr lang="en-US" sz="1100" b="1" i="0" u="none" strike="noStrike">
                <a:solidFill>
                  <a:srgbClr val="000000"/>
                </a:solidFill>
                <a:latin typeface="Calibri"/>
                <a:cs typeface="Calibri"/>
              </a:rPr>
              <a:t>14,88%</a:t>
            </a:fld>
            <a:endParaRPr lang="az-Latn-AZ" sz="1100">
              <a:latin typeface="Times New Roman" panose="02020603050405020304" pitchFamily="18" charset="0"/>
              <a:cs typeface="Times New Roman" panose="02020603050405020304" pitchFamily="18" charset="0"/>
            </a:endParaRPr>
          </a:p>
        </xdr:txBody>
      </xdr:sp>
    </xdr:grpSp>
    <xdr:clientData/>
  </xdr:twoCellAnchor>
  <xdr:twoCellAnchor>
    <xdr:from>
      <xdr:col>18</xdr:col>
      <xdr:colOff>54428</xdr:colOff>
      <xdr:row>21</xdr:row>
      <xdr:rowOff>65317</xdr:rowOff>
    </xdr:from>
    <xdr:to>
      <xdr:col>20</xdr:col>
      <xdr:colOff>228600</xdr:colOff>
      <xdr:row>24</xdr:row>
      <xdr:rowOff>54429</xdr:rowOff>
    </xdr:to>
    <xdr:grpSp>
      <xdr:nvGrpSpPr>
        <xdr:cNvPr id="88" name="Group 87">
          <a:extLst>
            <a:ext uri="{FF2B5EF4-FFF2-40B4-BE49-F238E27FC236}">
              <a16:creationId xmlns:a16="http://schemas.microsoft.com/office/drawing/2014/main" id="{94674CDC-74EA-4A1A-B17A-0CF34C032F1C}"/>
            </a:ext>
          </a:extLst>
        </xdr:cNvPr>
        <xdr:cNvGrpSpPr/>
      </xdr:nvGrpSpPr>
      <xdr:grpSpPr>
        <a:xfrm>
          <a:off x="11027228" y="3951517"/>
          <a:ext cx="1393372" cy="544283"/>
          <a:chOff x="11114314" y="2645230"/>
          <a:chExt cx="1393372" cy="544283"/>
        </a:xfrm>
      </xdr:grpSpPr>
      <xdr:cxnSp macro="">
        <xdr:nvCxnSpPr>
          <xdr:cNvPr id="89" name="Straight Connector 88">
            <a:extLst>
              <a:ext uri="{FF2B5EF4-FFF2-40B4-BE49-F238E27FC236}">
                <a16:creationId xmlns:a16="http://schemas.microsoft.com/office/drawing/2014/main" id="{30EC37BC-93F6-48F0-A136-F4816C5B8888}"/>
              </a:ext>
            </a:extLst>
          </xdr:cNvPr>
          <xdr:cNvCxnSpPr/>
        </xdr:nvCxnSpPr>
        <xdr:spPr>
          <a:xfrm>
            <a:off x="11114314" y="2699658"/>
            <a:ext cx="10885" cy="348343"/>
          </a:xfrm>
          <a:prstGeom prst="line">
            <a:avLst/>
          </a:prstGeom>
          <a:ln w="38100">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90" name="TextBox 89">
            <a:extLst>
              <a:ext uri="{FF2B5EF4-FFF2-40B4-BE49-F238E27FC236}">
                <a16:creationId xmlns:a16="http://schemas.microsoft.com/office/drawing/2014/main" id="{D74977C9-CF2B-4AD5-A66C-A494102A9D61}"/>
              </a:ext>
            </a:extLst>
          </xdr:cNvPr>
          <xdr:cNvSpPr txBox="1"/>
        </xdr:nvSpPr>
        <xdr:spPr>
          <a:xfrm>
            <a:off x="11157857" y="2645230"/>
            <a:ext cx="947057" cy="217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Times New Roman" panose="02020603050405020304" pitchFamily="18" charset="0"/>
                <a:cs typeface="Times New Roman" panose="02020603050405020304" pitchFamily="18" charset="0"/>
              </a:rPr>
              <a:t>Road</a:t>
            </a:r>
            <a:r>
              <a:rPr lang="en-US" sz="1100" b="1" baseline="0">
                <a:latin typeface="Times New Roman" panose="02020603050405020304" pitchFamily="18" charset="0"/>
                <a:cs typeface="Times New Roman" panose="02020603050405020304" pitchFamily="18" charset="0"/>
              </a:rPr>
              <a:t> Racer</a:t>
            </a:r>
            <a:endParaRPr lang="az-Latn-AZ" sz="1100" b="1">
              <a:latin typeface="Times New Roman" panose="02020603050405020304" pitchFamily="18" charset="0"/>
              <a:cs typeface="Times New Roman" panose="02020603050405020304" pitchFamily="18" charset="0"/>
            </a:endParaRPr>
          </a:p>
        </xdr:txBody>
      </xdr:sp>
      <xdr:sp macro="" textlink="Analysis!K26">
        <xdr:nvSpPr>
          <xdr:cNvPr id="91" name="TextBox 90">
            <a:extLst>
              <a:ext uri="{FF2B5EF4-FFF2-40B4-BE49-F238E27FC236}">
                <a16:creationId xmlns:a16="http://schemas.microsoft.com/office/drawing/2014/main" id="{E9CB30C0-1D2A-4260-8B5E-B01DE743CA43}"/>
              </a:ext>
            </a:extLst>
          </xdr:cNvPr>
          <xdr:cNvSpPr txBox="1"/>
        </xdr:nvSpPr>
        <xdr:spPr>
          <a:xfrm>
            <a:off x="11179628" y="2862942"/>
            <a:ext cx="925286" cy="326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C081DD1-B468-4424-B6A8-CAF05F65F24C}" type="TxLink">
              <a:rPr lang="en-US" sz="1100" b="1" i="0" u="none" strike="noStrike">
                <a:solidFill>
                  <a:srgbClr val="000000"/>
                </a:solidFill>
                <a:latin typeface="Times New Roman" panose="02020603050405020304" pitchFamily="18" charset="0"/>
                <a:cs typeface="Times New Roman" panose="02020603050405020304" pitchFamily="18" charset="0"/>
              </a:rPr>
              <a:t>17276,5</a:t>
            </a:fld>
            <a:endParaRPr lang="az-Latn-AZ" sz="1100" b="1">
              <a:latin typeface="Times New Roman" panose="02020603050405020304" pitchFamily="18" charset="0"/>
              <a:cs typeface="Times New Roman" panose="02020603050405020304" pitchFamily="18" charset="0"/>
            </a:endParaRPr>
          </a:p>
        </xdr:txBody>
      </xdr:sp>
      <xdr:sp macro="" textlink="Analysis!L26">
        <xdr:nvSpPr>
          <xdr:cNvPr id="92" name="TextBox 91">
            <a:extLst>
              <a:ext uri="{FF2B5EF4-FFF2-40B4-BE49-F238E27FC236}">
                <a16:creationId xmlns:a16="http://schemas.microsoft.com/office/drawing/2014/main" id="{8E55D099-7B07-40C5-A716-7FE14BF299A5}"/>
              </a:ext>
            </a:extLst>
          </xdr:cNvPr>
          <xdr:cNvSpPr txBox="1"/>
        </xdr:nvSpPr>
        <xdr:spPr>
          <a:xfrm>
            <a:off x="11800114" y="2819401"/>
            <a:ext cx="707572" cy="2939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F93BC43-0202-4046-A4DA-1445ACEEC33D}" type="TxLink">
              <a:rPr lang="en-US" sz="1100" b="1" i="0" u="none" strike="noStrike">
                <a:solidFill>
                  <a:srgbClr val="000000"/>
                </a:solidFill>
                <a:latin typeface="Times New Roman" panose="02020603050405020304" pitchFamily="18" charset="0"/>
                <a:cs typeface="Times New Roman" panose="02020603050405020304" pitchFamily="18" charset="0"/>
              </a:rPr>
              <a:t>14,65%</a:t>
            </a:fld>
            <a:endParaRPr lang="az-Latn-AZ" sz="1100">
              <a:latin typeface="Times New Roman" panose="02020603050405020304" pitchFamily="18" charset="0"/>
              <a:cs typeface="Times New Roman" panose="02020603050405020304" pitchFamily="18" charset="0"/>
            </a:endParaRPr>
          </a:p>
        </xdr:txBody>
      </xdr:sp>
    </xdr:grpSp>
    <xdr:clientData/>
  </xdr:twoCellAnchor>
  <xdr:twoCellAnchor>
    <xdr:from>
      <xdr:col>20</xdr:col>
      <xdr:colOff>228601</xdr:colOff>
      <xdr:row>14</xdr:row>
      <xdr:rowOff>108858</xdr:rowOff>
    </xdr:from>
    <xdr:to>
      <xdr:col>22</xdr:col>
      <xdr:colOff>402773</xdr:colOff>
      <xdr:row>17</xdr:row>
      <xdr:rowOff>97970</xdr:rowOff>
    </xdr:to>
    <xdr:grpSp>
      <xdr:nvGrpSpPr>
        <xdr:cNvPr id="93" name="Group 92">
          <a:extLst>
            <a:ext uri="{FF2B5EF4-FFF2-40B4-BE49-F238E27FC236}">
              <a16:creationId xmlns:a16="http://schemas.microsoft.com/office/drawing/2014/main" id="{8A1229B2-C281-4F47-AAA0-DAD48509C07F}"/>
            </a:ext>
          </a:extLst>
        </xdr:cNvPr>
        <xdr:cNvGrpSpPr/>
      </xdr:nvGrpSpPr>
      <xdr:grpSpPr>
        <a:xfrm>
          <a:off x="12420601" y="2699658"/>
          <a:ext cx="1393372" cy="544283"/>
          <a:chOff x="11114314" y="2645230"/>
          <a:chExt cx="1393372" cy="544283"/>
        </a:xfrm>
      </xdr:grpSpPr>
      <xdr:cxnSp macro="">
        <xdr:nvCxnSpPr>
          <xdr:cNvPr id="94" name="Straight Connector 93">
            <a:extLst>
              <a:ext uri="{FF2B5EF4-FFF2-40B4-BE49-F238E27FC236}">
                <a16:creationId xmlns:a16="http://schemas.microsoft.com/office/drawing/2014/main" id="{2EAF7FA8-7147-46A4-85CB-E85D6CD79381}"/>
              </a:ext>
            </a:extLst>
          </xdr:cNvPr>
          <xdr:cNvCxnSpPr/>
        </xdr:nvCxnSpPr>
        <xdr:spPr>
          <a:xfrm>
            <a:off x="11114314" y="2699658"/>
            <a:ext cx="10885" cy="348343"/>
          </a:xfrm>
          <a:prstGeom prst="line">
            <a:avLst/>
          </a:prstGeom>
          <a:ln w="38100">
            <a:solidFill>
              <a:schemeClr val="accent4">
                <a:lumMod val="60000"/>
                <a:lumOff val="40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95" name="TextBox 94">
            <a:extLst>
              <a:ext uri="{FF2B5EF4-FFF2-40B4-BE49-F238E27FC236}">
                <a16:creationId xmlns:a16="http://schemas.microsoft.com/office/drawing/2014/main" id="{B60C3A5E-9418-485D-A9C1-218A34E97DD7}"/>
              </a:ext>
            </a:extLst>
          </xdr:cNvPr>
          <xdr:cNvSpPr txBox="1"/>
        </xdr:nvSpPr>
        <xdr:spPr>
          <a:xfrm>
            <a:off x="11157857" y="2645230"/>
            <a:ext cx="947057" cy="217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Times New Roman" panose="02020603050405020304" pitchFamily="18" charset="0"/>
                <a:cs typeface="Times New Roman" panose="02020603050405020304" pitchFamily="18" charset="0"/>
              </a:rPr>
              <a:t>Speedster</a:t>
            </a:r>
            <a:endParaRPr lang="az-Latn-AZ" sz="1100" b="1">
              <a:latin typeface="Times New Roman" panose="02020603050405020304" pitchFamily="18" charset="0"/>
              <a:cs typeface="Times New Roman" panose="02020603050405020304" pitchFamily="18" charset="0"/>
            </a:endParaRPr>
          </a:p>
        </xdr:txBody>
      </xdr:sp>
      <xdr:sp macro="" textlink="Analysis!K27">
        <xdr:nvSpPr>
          <xdr:cNvPr id="96" name="TextBox 95">
            <a:extLst>
              <a:ext uri="{FF2B5EF4-FFF2-40B4-BE49-F238E27FC236}">
                <a16:creationId xmlns:a16="http://schemas.microsoft.com/office/drawing/2014/main" id="{86700187-8D16-4C01-8EC6-097C293ED3E0}"/>
              </a:ext>
            </a:extLst>
          </xdr:cNvPr>
          <xdr:cNvSpPr txBox="1"/>
        </xdr:nvSpPr>
        <xdr:spPr>
          <a:xfrm>
            <a:off x="11179628" y="2862942"/>
            <a:ext cx="925286" cy="326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D11FA88-BF2E-4B77-B6F3-534F9799BB38}" type="TxLink">
              <a:rPr lang="en-US" sz="1100" b="1" i="0" u="none" strike="noStrike">
                <a:solidFill>
                  <a:srgbClr val="000000"/>
                </a:solidFill>
                <a:latin typeface="Times New Roman" panose="02020603050405020304" pitchFamily="18" charset="0"/>
                <a:cs typeface="Times New Roman" panose="02020603050405020304" pitchFamily="18" charset="0"/>
              </a:rPr>
              <a:t>17589,0</a:t>
            </a:fld>
            <a:endParaRPr lang="az-Latn-AZ" sz="1100" b="1">
              <a:latin typeface="Times New Roman" panose="02020603050405020304" pitchFamily="18" charset="0"/>
              <a:cs typeface="Times New Roman" panose="02020603050405020304" pitchFamily="18" charset="0"/>
            </a:endParaRPr>
          </a:p>
        </xdr:txBody>
      </xdr:sp>
      <xdr:sp macro="" textlink="Analysis!L27">
        <xdr:nvSpPr>
          <xdr:cNvPr id="97" name="TextBox 96">
            <a:extLst>
              <a:ext uri="{FF2B5EF4-FFF2-40B4-BE49-F238E27FC236}">
                <a16:creationId xmlns:a16="http://schemas.microsoft.com/office/drawing/2014/main" id="{6C784F10-8A7C-4110-9047-27D0F40F8C39}"/>
              </a:ext>
            </a:extLst>
          </xdr:cNvPr>
          <xdr:cNvSpPr txBox="1"/>
        </xdr:nvSpPr>
        <xdr:spPr>
          <a:xfrm>
            <a:off x="11800114" y="2819401"/>
            <a:ext cx="707572" cy="2939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293B020-66F6-47E4-A4DA-016FDB20781F}" type="TxLink">
              <a:rPr lang="en-US" sz="1100" b="1" i="0" u="none" strike="noStrike">
                <a:solidFill>
                  <a:srgbClr val="000000"/>
                </a:solidFill>
                <a:latin typeface="Calibri"/>
                <a:cs typeface="Calibri"/>
              </a:rPr>
              <a:t>14,91%</a:t>
            </a:fld>
            <a:endParaRPr lang="az-Latn-AZ" sz="1100">
              <a:latin typeface="Times New Roman" panose="02020603050405020304" pitchFamily="18" charset="0"/>
              <a:cs typeface="Times New Roman" panose="02020603050405020304" pitchFamily="18" charset="0"/>
            </a:endParaRPr>
          </a:p>
        </xdr:txBody>
      </xdr:sp>
    </xdr:grpSp>
    <xdr:clientData/>
  </xdr:twoCellAnchor>
  <xdr:twoCellAnchor>
    <xdr:from>
      <xdr:col>20</xdr:col>
      <xdr:colOff>217716</xdr:colOff>
      <xdr:row>21</xdr:row>
      <xdr:rowOff>97973</xdr:rowOff>
    </xdr:from>
    <xdr:to>
      <xdr:col>22</xdr:col>
      <xdr:colOff>391888</xdr:colOff>
      <xdr:row>24</xdr:row>
      <xdr:rowOff>87085</xdr:rowOff>
    </xdr:to>
    <xdr:grpSp>
      <xdr:nvGrpSpPr>
        <xdr:cNvPr id="98" name="Group 97">
          <a:extLst>
            <a:ext uri="{FF2B5EF4-FFF2-40B4-BE49-F238E27FC236}">
              <a16:creationId xmlns:a16="http://schemas.microsoft.com/office/drawing/2014/main" id="{00DDD35D-33C1-4041-946C-C47801E465FD}"/>
            </a:ext>
          </a:extLst>
        </xdr:cNvPr>
        <xdr:cNvGrpSpPr/>
      </xdr:nvGrpSpPr>
      <xdr:grpSpPr>
        <a:xfrm>
          <a:off x="12409716" y="3984173"/>
          <a:ext cx="1393372" cy="544283"/>
          <a:chOff x="11114314" y="2645230"/>
          <a:chExt cx="1393372" cy="544283"/>
        </a:xfrm>
      </xdr:grpSpPr>
      <xdr:cxnSp macro="">
        <xdr:nvCxnSpPr>
          <xdr:cNvPr id="99" name="Straight Connector 98">
            <a:extLst>
              <a:ext uri="{FF2B5EF4-FFF2-40B4-BE49-F238E27FC236}">
                <a16:creationId xmlns:a16="http://schemas.microsoft.com/office/drawing/2014/main" id="{E189CD13-9F60-4460-9493-5E96645A8060}"/>
              </a:ext>
            </a:extLst>
          </xdr:cNvPr>
          <xdr:cNvCxnSpPr/>
        </xdr:nvCxnSpPr>
        <xdr:spPr>
          <a:xfrm>
            <a:off x="11114314" y="2699658"/>
            <a:ext cx="10885" cy="348343"/>
          </a:xfrm>
          <a:prstGeom prst="line">
            <a:avLst/>
          </a:prstGeom>
          <a:ln w="38100">
            <a:solidFill>
              <a:schemeClr val="accent6"/>
            </a:solidFill>
          </a:ln>
        </xdr:spPr>
        <xdr:style>
          <a:lnRef idx="1">
            <a:schemeClr val="accent1"/>
          </a:lnRef>
          <a:fillRef idx="0">
            <a:schemeClr val="accent1"/>
          </a:fillRef>
          <a:effectRef idx="0">
            <a:schemeClr val="accent1"/>
          </a:effectRef>
          <a:fontRef idx="minor">
            <a:schemeClr val="tx1"/>
          </a:fontRef>
        </xdr:style>
      </xdr:cxnSp>
      <xdr:sp macro="" textlink="">
        <xdr:nvSpPr>
          <xdr:cNvPr id="100" name="TextBox 99">
            <a:extLst>
              <a:ext uri="{FF2B5EF4-FFF2-40B4-BE49-F238E27FC236}">
                <a16:creationId xmlns:a16="http://schemas.microsoft.com/office/drawing/2014/main" id="{4CBB95C7-1FEA-48A0-B0FE-AC5CA3EF2F9E}"/>
              </a:ext>
            </a:extLst>
          </xdr:cNvPr>
          <xdr:cNvSpPr txBox="1"/>
        </xdr:nvSpPr>
        <xdr:spPr>
          <a:xfrm>
            <a:off x="11157857" y="2645230"/>
            <a:ext cx="1186541" cy="1959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Times New Roman" panose="02020603050405020304" pitchFamily="18" charset="0"/>
                <a:cs typeface="Times New Roman" panose="02020603050405020304" pitchFamily="18" charset="0"/>
              </a:rPr>
              <a:t>Yellow</a:t>
            </a:r>
            <a:r>
              <a:rPr lang="en-US" sz="1100" b="1" baseline="0">
                <a:latin typeface="Times New Roman" panose="02020603050405020304" pitchFamily="18" charset="0"/>
                <a:cs typeface="Times New Roman" panose="02020603050405020304" pitchFamily="18" charset="0"/>
              </a:rPr>
              <a:t> Edition</a:t>
            </a:r>
          </a:p>
          <a:p>
            <a:endParaRPr lang="az-Latn-AZ" sz="1100" b="1">
              <a:latin typeface="Times New Roman" panose="02020603050405020304" pitchFamily="18" charset="0"/>
              <a:cs typeface="Times New Roman" panose="02020603050405020304" pitchFamily="18" charset="0"/>
            </a:endParaRPr>
          </a:p>
        </xdr:txBody>
      </xdr:sp>
      <xdr:sp macro="" textlink="Analysis!K29">
        <xdr:nvSpPr>
          <xdr:cNvPr id="101" name="TextBox 100">
            <a:extLst>
              <a:ext uri="{FF2B5EF4-FFF2-40B4-BE49-F238E27FC236}">
                <a16:creationId xmlns:a16="http://schemas.microsoft.com/office/drawing/2014/main" id="{E91E9FA0-0D4F-4128-B6C7-888CC14B9D6E}"/>
              </a:ext>
            </a:extLst>
          </xdr:cNvPr>
          <xdr:cNvSpPr txBox="1"/>
        </xdr:nvSpPr>
        <xdr:spPr>
          <a:xfrm>
            <a:off x="11179628" y="2862942"/>
            <a:ext cx="925286" cy="326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6FE1FF1-3DF1-40FB-A0FB-14CE85F58807}" type="TxLink">
              <a:rPr lang="en-US" sz="1100" b="1" i="0" u="none" strike="noStrike">
                <a:solidFill>
                  <a:srgbClr val="000000"/>
                </a:solidFill>
                <a:latin typeface="Calibri"/>
                <a:cs typeface="Calibri"/>
              </a:rPr>
              <a:t>14860,6</a:t>
            </a:fld>
            <a:endParaRPr lang="az-Latn-AZ" sz="1100" b="1">
              <a:latin typeface="Times New Roman" panose="02020603050405020304" pitchFamily="18" charset="0"/>
              <a:cs typeface="Times New Roman" panose="02020603050405020304" pitchFamily="18" charset="0"/>
            </a:endParaRPr>
          </a:p>
        </xdr:txBody>
      </xdr:sp>
      <xdr:sp macro="" textlink="Analysis!L29">
        <xdr:nvSpPr>
          <xdr:cNvPr id="102" name="TextBox 101">
            <a:extLst>
              <a:ext uri="{FF2B5EF4-FFF2-40B4-BE49-F238E27FC236}">
                <a16:creationId xmlns:a16="http://schemas.microsoft.com/office/drawing/2014/main" id="{49EE8C8A-9504-4904-A155-FB46293C7181}"/>
              </a:ext>
            </a:extLst>
          </xdr:cNvPr>
          <xdr:cNvSpPr txBox="1"/>
        </xdr:nvSpPr>
        <xdr:spPr>
          <a:xfrm>
            <a:off x="11800114" y="2819401"/>
            <a:ext cx="707572" cy="2939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74B025B-F588-470D-A51C-A6B8471AED5C}" type="TxLink">
              <a:rPr lang="en-US" sz="1100" b="1" i="0" u="none" strike="noStrike">
                <a:solidFill>
                  <a:srgbClr val="000000"/>
                </a:solidFill>
                <a:latin typeface="Calibri"/>
                <a:cs typeface="Calibri"/>
              </a:rPr>
              <a:t>12,60%</a:t>
            </a:fld>
            <a:endParaRPr lang="az-Latn-AZ" sz="1100">
              <a:latin typeface="Times New Roman" panose="02020603050405020304" pitchFamily="18" charset="0"/>
              <a:cs typeface="Times New Roman" panose="02020603050405020304" pitchFamily="18" charset="0"/>
            </a:endParaRPr>
          </a:p>
        </xdr:txBody>
      </xdr:sp>
    </xdr:grpSp>
    <xdr:clientData/>
  </xdr:twoCellAnchor>
  <xdr:twoCellAnchor>
    <xdr:from>
      <xdr:col>20</xdr:col>
      <xdr:colOff>206829</xdr:colOff>
      <xdr:row>18</xdr:row>
      <xdr:rowOff>32658</xdr:rowOff>
    </xdr:from>
    <xdr:to>
      <xdr:col>22</xdr:col>
      <xdr:colOff>381001</xdr:colOff>
      <xdr:row>21</xdr:row>
      <xdr:rowOff>21770</xdr:rowOff>
    </xdr:to>
    <xdr:grpSp>
      <xdr:nvGrpSpPr>
        <xdr:cNvPr id="103" name="Group 102">
          <a:extLst>
            <a:ext uri="{FF2B5EF4-FFF2-40B4-BE49-F238E27FC236}">
              <a16:creationId xmlns:a16="http://schemas.microsoft.com/office/drawing/2014/main" id="{C7734BEC-7628-4146-BB40-6CDD3446233A}"/>
            </a:ext>
          </a:extLst>
        </xdr:cNvPr>
        <xdr:cNvGrpSpPr/>
      </xdr:nvGrpSpPr>
      <xdr:grpSpPr>
        <a:xfrm>
          <a:off x="12398829" y="3363687"/>
          <a:ext cx="1393372" cy="544283"/>
          <a:chOff x="11114314" y="2645230"/>
          <a:chExt cx="1393372" cy="544283"/>
        </a:xfrm>
      </xdr:grpSpPr>
      <xdr:cxnSp macro="">
        <xdr:nvCxnSpPr>
          <xdr:cNvPr id="104" name="Straight Connector 103">
            <a:extLst>
              <a:ext uri="{FF2B5EF4-FFF2-40B4-BE49-F238E27FC236}">
                <a16:creationId xmlns:a16="http://schemas.microsoft.com/office/drawing/2014/main" id="{939012DF-B9D7-4FEF-B5EA-FC08878861D1}"/>
              </a:ext>
            </a:extLst>
          </xdr:cNvPr>
          <xdr:cNvCxnSpPr/>
        </xdr:nvCxnSpPr>
        <xdr:spPr>
          <a:xfrm>
            <a:off x="11114314" y="2699658"/>
            <a:ext cx="10885" cy="348343"/>
          </a:xfrm>
          <a:prstGeom prst="line">
            <a:avLst/>
          </a:prstGeom>
          <a:ln w="38100">
            <a:solidFill>
              <a:schemeClr val="accent1">
                <a:lumMod val="60000"/>
                <a:lumOff val="40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105" name="TextBox 104">
            <a:extLst>
              <a:ext uri="{FF2B5EF4-FFF2-40B4-BE49-F238E27FC236}">
                <a16:creationId xmlns:a16="http://schemas.microsoft.com/office/drawing/2014/main" id="{50DFEC84-B57D-49F2-856F-24F4C940B329}"/>
              </a:ext>
            </a:extLst>
          </xdr:cNvPr>
          <xdr:cNvSpPr txBox="1"/>
        </xdr:nvSpPr>
        <xdr:spPr>
          <a:xfrm>
            <a:off x="11157857" y="2645230"/>
            <a:ext cx="947057" cy="217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Times New Roman" panose="02020603050405020304" pitchFamily="18" charset="0"/>
                <a:cs typeface="Times New Roman" panose="02020603050405020304" pitchFamily="18" charset="0"/>
              </a:rPr>
              <a:t>Trail</a:t>
            </a:r>
            <a:r>
              <a:rPr lang="en-US" sz="1100" b="1" baseline="0">
                <a:latin typeface="Times New Roman" panose="02020603050405020304" pitchFamily="18" charset="0"/>
                <a:cs typeface="Times New Roman" panose="02020603050405020304" pitchFamily="18" charset="0"/>
              </a:rPr>
              <a:t> Master</a:t>
            </a:r>
          </a:p>
          <a:p>
            <a:endParaRPr lang="az-Latn-AZ" sz="1100" b="1">
              <a:latin typeface="Times New Roman" panose="02020603050405020304" pitchFamily="18" charset="0"/>
              <a:cs typeface="Times New Roman" panose="02020603050405020304" pitchFamily="18" charset="0"/>
            </a:endParaRPr>
          </a:p>
        </xdr:txBody>
      </xdr:sp>
      <xdr:sp macro="" textlink="Analysis!K28">
        <xdr:nvSpPr>
          <xdr:cNvPr id="106" name="TextBox 105">
            <a:extLst>
              <a:ext uri="{FF2B5EF4-FFF2-40B4-BE49-F238E27FC236}">
                <a16:creationId xmlns:a16="http://schemas.microsoft.com/office/drawing/2014/main" id="{B6394B2D-2455-4E81-BFC1-9A02C0FA9A47}"/>
              </a:ext>
            </a:extLst>
          </xdr:cNvPr>
          <xdr:cNvSpPr txBox="1"/>
        </xdr:nvSpPr>
        <xdr:spPr>
          <a:xfrm>
            <a:off x="11179628" y="2862942"/>
            <a:ext cx="925286" cy="326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52B3277-9EB5-4C8B-A856-372342AF797E}" type="TxLink">
              <a:rPr lang="en-US" sz="1100" b="1" i="0" u="none" strike="noStrike">
                <a:solidFill>
                  <a:srgbClr val="000000"/>
                </a:solidFill>
                <a:latin typeface="Calibri"/>
                <a:cs typeface="Calibri"/>
              </a:rPr>
              <a:t>18000,2</a:t>
            </a:fld>
            <a:endParaRPr lang="az-Latn-AZ" sz="1100" b="1">
              <a:latin typeface="Times New Roman" panose="02020603050405020304" pitchFamily="18" charset="0"/>
              <a:cs typeface="Times New Roman" panose="02020603050405020304" pitchFamily="18" charset="0"/>
            </a:endParaRPr>
          </a:p>
        </xdr:txBody>
      </xdr:sp>
      <xdr:sp macro="" textlink="Analysis!L28">
        <xdr:nvSpPr>
          <xdr:cNvPr id="107" name="TextBox 106">
            <a:extLst>
              <a:ext uri="{FF2B5EF4-FFF2-40B4-BE49-F238E27FC236}">
                <a16:creationId xmlns:a16="http://schemas.microsoft.com/office/drawing/2014/main" id="{F360D93C-EA39-458C-B396-BC5A6BA57B83}"/>
              </a:ext>
            </a:extLst>
          </xdr:cNvPr>
          <xdr:cNvSpPr txBox="1"/>
        </xdr:nvSpPr>
        <xdr:spPr>
          <a:xfrm>
            <a:off x="11800114" y="2819401"/>
            <a:ext cx="707572" cy="2939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FA104C2-FB13-4024-A80A-EF02D8C7634B}" type="TxLink">
              <a:rPr lang="en-US" sz="1100" b="1" i="0" u="none" strike="noStrike">
                <a:solidFill>
                  <a:srgbClr val="000000"/>
                </a:solidFill>
                <a:latin typeface="Calibri"/>
                <a:cs typeface="Calibri"/>
              </a:rPr>
              <a:t>15,26%</a:t>
            </a:fld>
            <a:endParaRPr lang="az-Latn-AZ" sz="1100">
              <a:latin typeface="Times New Roman" panose="02020603050405020304" pitchFamily="18" charset="0"/>
              <a:cs typeface="Times New Roman" panose="02020603050405020304" pitchFamily="18" charset="0"/>
            </a:endParaRPr>
          </a:p>
        </xdr:txBody>
      </xdr:sp>
    </xdr:grpSp>
    <xdr:clientData/>
  </xdr:twoCellAnchor>
  <xdr:twoCellAnchor editAs="oneCell">
    <xdr:from>
      <xdr:col>1</xdr:col>
      <xdr:colOff>424543</xdr:colOff>
      <xdr:row>2</xdr:row>
      <xdr:rowOff>163287</xdr:rowOff>
    </xdr:from>
    <xdr:to>
      <xdr:col>4</xdr:col>
      <xdr:colOff>76200</xdr:colOff>
      <xdr:row>7</xdr:row>
      <xdr:rowOff>130630</xdr:rowOff>
    </xdr:to>
    <mc:AlternateContent xmlns:mc="http://schemas.openxmlformats.org/markup-compatibility/2006">
      <mc:Choice xmlns:a14="http://schemas.microsoft.com/office/drawing/2010/main" Requires="a14">
        <xdr:graphicFrame macro="">
          <xdr:nvGraphicFramePr>
            <xdr:cNvPr id="108" name="Year">
              <a:extLst>
                <a:ext uri="{FF2B5EF4-FFF2-40B4-BE49-F238E27FC236}">
                  <a16:creationId xmlns:a16="http://schemas.microsoft.com/office/drawing/2014/main" id="{9419B734-0146-4E8B-993F-516AA59D8CF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034143" y="533401"/>
              <a:ext cx="1480457" cy="892629"/>
            </a:xfrm>
            <a:prstGeom prst="rect">
              <a:avLst/>
            </a:prstGeom>
            <a:solidFill>
              <a:prstClr val="white"/>
            </a:solidFill>
            <a:ln w="1">
              <a:solidFill>
                <a:prstClr val="green"/>
              </a:solidFill>
            </a:ln>
          </xdr:spPr>
          <xdr:txBody>
            <a:bodyPr vertOverflow="clip" horzOverflow="clip"/>
            <a:lstStyle/>
            <a:p>
              <a:r>
                <a:rPr lang="az-Latn-A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174171</xdr:colOff>
      <xdr:row>2</xdr:row>
      <xdr:rowOff>119743</xdr:rowOff>
    </xdr:from>
    <xdr:to>
      <xdr:col>22</xdr:col>
      <xdr:colOff>283028</xdr:colOff>
      <xdr:row>5</xdr:row>
      <xdr:rowOff>174171</xdr:rowOff>
    </xdr:to>
    <mc:AlternateContent xmlns:mc="http://schemas.openxmlformats.org/markup-compatibility/2006">
      <mc:Choice xmlns:a14="http://schemas.microsoft.com/office/drawing/2010/main" Requires="a14">
        <xdr:graphicFrame macro="">
          <xdr:nvGraphicFramePr>
            <xdr:cNvPr id="112" name="Quarter">
              <a:extLst>
                <a:ext uri="{FF2B5EF4-FFF2-40B4-BE49-F238E27FC236}">
                  <a16:creationId xmlns:a16="http://schemas.microsoft.com/office/drawing/2014/main" id="{69000F9C-5078-4C7A-9038-D19B28ADE8C0}"/>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9927771" y="489857"/>
              <a:ext cx="3766457" cy="609600"/>
            </a:xfrm>
            <a:prstGeom prst="rect">
              <a:avLst/>
            </a:prstGeom>
            <a:solidFill>
              <a:prstClr val="white"/>
            </a:solidFill>
            <a:ln w="1">
              <a:solidFill>
                <a:prstClr val="green"/>
              </a:solidFill>
            </a:ln>
          </xdr:spPr>
          <xdr:txBody>
            <a:bodyPr vertOverflow="clip" horzOverflow="clip"/>
            <a:lstStyle/>
            <a:p>
              <a:r>
                <a:rPr lang="az-Latn-A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413656</xdr:colOff>
      <xdr:row>7</xdr:row>
      <xdr:rowOff>141513</xdr:rowOff>
    </xdr:from>
    <xdr:to>
      <xdr:col>4</xdr:col>
      <xdr:colOff>65314</xdr:colOff>
      <xdr:row>27</xdr:row>
      <xdr:rowOff>152400</xdr:rowOff>
    </xdr:to>
    <mc:AlternateContent xmlns:mc="http://schemas.openxmlformats.org/markup-compatibility/2006">
      <mc:Choice xmlns:a14="http://schemas.microsoft.com/office/drawing/2010/main" Requires="a14">
        <xdr:graphicFrame macro="">
          <xdr:nvGraphicFramePr>
            <xdr:cNvPr id="113" name="Month">
              <a:extLst>
                <a:ext uri="{FF2B5EF4-FFF2-40B4-BE49-F238E27FC236}">
                  <a16:creationId xmlns:a16="http://schemas.microsoft.com/office/drawing/2014/main" id="{2929D4C0-1FE8-4467-8D0C-F09124F0764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023256" y="1436913"/>
              <a:ext cx="1480458" cy="3712030"/>
            </a:xfrm>
            <a:prstGeom prst="rect">
              <a:avLst/>
            </a:prstGeom>
            <a:solidFill>
              <a:prstClr val="white"/>
            </a:solidFill>
            <a:ln w="1">
              <a:solidFill>
                <a:prstClr val="green"/>
              </a:solidFill>
            </a:ln>
          </xdr:spPr>
          <xdr:txBody>
            <a:bodyPr vertOverflow="clip" horzOverflow="clip"/>
            <a:lstStyle/>
            <a:p>
              <a:r>
                <a:rPr lang="az-Latn-A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413657</xdr:colOff>
      <xdr:row>27</xdr:row>
      <xdr:rowOff>152398</xdr:rowOff>
    </xdr:from>
    <xdr:to>
      <xdr:col>4</xdr:col>
      <xdr:colOff>119742</xdr:colOff>
      <xdr:row>37</xdr:row>
      <xdr:rowOff>43543</xdr:rowOff>
    </xdr:to>
    <mc:AlternateContent xmlns:mc="http://schemas.openxmlformats.org/markup-compatibility/2006">
      <mc:Choice xmlns:a14="http://schemas.microsoft.com/office/drawing/2010/main" Requires="a14">
        <xdr:graphicFrame macro="">
          <xdr:nvGraphicFramePr>
            <xdr:cNvPr id="114" name="Segment">
              <a:extLst>
                <a:ext uri="{FF2B5EF4-FFF2-40B4-BE49-F238E27FC236}">
                  <a16:creationId xmlns:a16="http://schemas.microsoft.com/office/drawing/2014/main" id="{BABAC95F-5CF3-42EF-9A4D-966069870257}"/>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023257" y="5148941"/>
              <a:ext cx="1534885" cy="1741716"/>
            </a:xfrm>
            <a:prstGeom prst="rect">
              <a:avLst/>
            </a:prstGeom>
            <a:solidFill>
              <a:prstClr val="white"/>
            </a:solidFill>
            <a:ln w="1">
              <a:solidFill>
                <a:prstClr val="green"/>
              </a:solidFill>
            </a:ln>
          </xdr:spPr>
          <xdr:txBody>
            <a:bodyPr vertOverflow="clip" horzOverflow="clip"/>
            <a:lstStyle/>
            <a:p>
              <a:r>
                <a:rPr lang="az-Latn-A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0.71119</cdr:x>
      <cdr:y>0</cdr:y>
    </cdr:from>
    <cdr:to>
      <cdr:x>0.78262</cdr:x>
      <cdr:y>0.17284</cdr:y>
    </cdr:to>
    <cdr:sp macro="" textlink="">
      <cdr:nvSpPr>
        <cdr:cNvPr id="2" name="TextBox 1">
          <a:extLst xmlns:a="http://schemas.openxmlformats.org/drawingml/2006/main">
            <a:ext uri="{FF2B5EF4-FFF2-40B4-BE49-F238E27FC236}">
              <a16:creationId xmlns:a16="http://schemas.microsoft.com/office/drawing/2014/main" id="{BFF7A77C-A0B6-4871-8C3B-7A8FA13632E9}"/>
            </a:ext>
          </a:extLst>
        </cdr:cNvPr>
        <cdr:cNvSpPr txBox="1"/>
      </cdr:nvSpPr>
      <cdr:spPr>
        <a:xfrm xmlns:a="http://schemas.openxmlformats.org/drawingml/2006/main">
          <a:off x="3251564" y="-4642"/>
          <a:ext cx="326571" cy="32657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az-Latn-AZ" sz="11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5993.436751041663" createdVersion="7" refreshedVersion="7" minRefreshableVersion="3" recordCount="700" xr:uid="{B120F7E2-1F85-429F-9138-728B00F1EB26}">
  <cacheSource type="worksheet">
    <worksheetSource ref="A1:T701" sheet="data"/>
  </cacheSource>
  <cacheFields count="20">
    <cacheField name="Segment" numFmtId="0">
      <sharedItems count="5">
        <s v="Enterprise"/>
        <s v="Midmarket"/>
        <s v="Small Business"/>
        <s v="Government"/>
        <s v="Channel Partners"/>
      </sharedItems>
    </cacheField>
    <cacheField name="Country" numFmtId="0">
      <sharedItems count="8">
        <s v="USA"/>
        <s v="Canada"/>
        <s v="England"/>
        <s v="France"/>
        <s v="Germany"/>
        <s v="Italy"/>
        <s v="India"/>
        <s v="Japan"/>
      </sharedItems>
    </cacheField>
    <cacheField name="Product_Name" numFmtId="0">
      <sharedItems count="6">
        <s v="X-Terrain"/>
        <s v="City Cruiser"/>
        <s v="Speedster"/>
        <s v="Trail Master"/>
        <s v="Road Racer"/>
        <s v="Yellow Edition"/>
      </sharedItems>
    </cacheField>
    <cacheField name="Customer_ID" numFmtId="0">
      <sharedItems/>
    </cacheField>
    <cacheField name="Product_ID" numFmtId="0">
      <sharedItems/>
    </cacheField>
    <cacheField name="Customer_Name" numFmtId="0">
      <sharedItems count="94">
        <s v="James Smith"/>
        <s v="Emma Johnson"/>
        <s v="Noah Williams"/>
        <s v="Olivia Brown"/>
        <s v="Liam Jones"/>
        <s v="Ava Davis"/>
        <s v="Ethan Miller"/>
        <s v="Isabella Wilson"/>
        <s v="Mason Taylor"/>
        <s v="Sophia Anderson"/>
        <s v="Benjamin Martinez"/>
        <s v="Mia Thomas"/>
        <s v="Logan Jackson"/>
        <s v="Charlotte White"/>
        <s v="Samuel Taylor"/>
        <s v="Harper Davis"/>
        <s v="Henry Anderson"/>
        <s v="Amelia Garcia"/>
        <s v="Jackson Martinez"/>
        <s v="Abigail Robinson"/>
        <s v="Aiden Lewis"/>
        <s v="Emily Clark"/>
        <s v="Sebastian Lee"/>
        <s v="Elizabeth Green"/>
        <s v="Alexander Perez"/>
        <s v="Avery Turner"/>
        <s v="Michael Hill"/>
        <s v="Sofia Phillips"/>
        <s v="Elijah Martin"/>
        <s v="Sophia Turner"/>
        <s v="Benjamin Lee"/>
        <s v="Mia White"/>
        <s v="Logan Garcia"/>
        <s v="Charlotte Davis"/>
        <s v="Samuel Johnson"/>
        <s v="Harper Anderson"/>
        <s v="Henry Martinez"/>
        <s v="Amelia Wilson"/>
        <s v="Jackson Turner"/>
        <s v="Abigail Lewis"/>
        <s v="Aiden Clark"/>
        <s v="Emily Garcia"/>
        <s v="Sebastian Phillips"/>
        <s v="Elizabeth Martin"/>
        <s v="Alexander Hill"/>
        <s v="Avery Anderson"/>
        <s v="Michael Wilson"/>
        <s v="Sofia Turner"/>
        <s v="Elijah Perez"/>
        <s v="Mia Hill"/>
        <s v="Logan Phillips"/>
        <s v="Charlotte Martin"/>
        <s v="Samuel Hill"/>
        <s v="Harper Wilson"/>
        <s v="Henry Turner"/>
        <s v="Amelia Perez"/>
        <s v="Jackson Hill"/>
        <s v="Abigail Phillips"/>
        <s v="Aiden Martin"/>
        <s v="Benjamin Martin"/>
        <s v="Mia Lewis"/>
        <s v="Logan Clark"/>
        <s v="Charlotte Anderson"/>
        <s v="Samuel Wilson"/>
        <s v="Harper Turner"/>
        <s v="Henry Phillips"/>
        <s v="Amelia Martin"/>
        <s v="Abigail Garcia"/>
        <s v="Aiden Perez"/>
        <s v="Emily Hill"/>
        <s v="Benjamin Phillips"/>
        <s v="Mia Turner"/>
        <s v="Logan Martin"/>
        <s v="Charlotte Garcia"/>
        <s v="Samuel Phillips"/>
        <s v="Harper Hill"/>
        <s v="Jackson Lewis"/>
        <s v="Abigail Clark"/>
        <s v="Aiden Anderson"/>
        <s v="Emily Martin"/>
        <s v="Benjamin Garcia"/>
        <s v="Charlotte Hill"/>
        <s v="Samuel Turner"/>
        <s v="Harper Martin"/>
        <s v="Henry Garcia"/>
        <s v="Amelia Phillips"/>
        <s v="Abigail Martin"/>
        <s v="Aiden Garcia"/>
        <s v="Emily Phillips"/>
        <s v="Benjamin Hill"/>
        <s v="Harper Phillips"/>
        <s v="Henry Martin"/>
        <s v="Amelia Hill"/>
        <s v="Aiden Hill"/>
      </sharedItems>
    </cacheField>
    <cacheField name="Discount Band" numFmtId="0">
      <sharedItems/>
    </cacheField>
    <cacheField name="Date" numFmtId="14">
      <sharedItems containsSemiMixedTypes="0" containsNonDate="0" containsDate="1" containsString="0" minDate="2020-01-02T00:00:00" maxDate="2022-01-01T00:00:00"/>
    </cacheField>
    <cacheField name="Month" numFmtId="0">
      <sharedItems count="12">
        <s v="Sep"/>
        <s v="Jan"/>
        <s v="Aug"/>
        <s v="Jul"/>
        <s v="Feb"/>
        <s v="Apr"/>
        <s v="Nov"/>
        <s v="Dec"/>
        <s v="Mar"/>
        <s v="Oct"/>
        <s v="May"/>
        <s v="Jun"/>
      </sharedItems>
    </cacheField>
    <cacheField name="Quarter" numFmtId="0">
      <sharedItems count="4">
        <s v="Q3"/>
        <s v="Q1"/>
        <s v="Q2"/>
        <s v="Q4"/>
      </sharedItems>
    </cacheField>
    <cacheField name="Year" numFmtId="0">
      <sharedItems containsSemiMixedTypes="0" containsString="0" containsNumber="1" containsInteger="1" minValue="2020" maxValue="2021" count="2">
        <n v="2020"/>
        <n v="2021"/>
      </sharedItems>
    </cacheField>
    <cacheField name="Units Sold" numFmtId="0">
      <sharedItems containsSemiMixedTypes="0" containsString="0" containsNumber="1" minValue="1.024" maxValue="997"/>
    </cacheField>
    <cacheField name="Manufacturing Price" numFmtId="0">
      <sharedItems containsMixedTypes="1" containsNumber="1" containsInteger="1" minValue="4" maxValue="320"/>
    </cacheField>
    <cacheField name="Sale Price" numFmtId="0">
      <sharedItems containsMixedTypes="1" containsNumber="1" containsInteger="1" minValue="11" maxValue="525"/>
    </cacheField>
    <cacheField name="Gross Sales" numFmtId="0">
      <sharedItems containsMixedTypes="1" containsNumber="1" minValue="3.3879999999999999" maxValue="961.8"/>
    </cacheField>
    <cacheField name="Discounts" numFmtId="0">
      <sharedItems containsMixedTypes="1" containsNumber="1" minValue="1.034" maxValue="973"/>
    </cacheField>
    <cacheField name="Net Sales" numFmtId="0">
      <sharedItems containsMixedTypes="1" containsNumber="1" minValue="3.117" maxValue="994.40300000000002"/>
    </cacheField>
    <cacheField name="Sales ('000)" numFmtId="0">
      <sharedItems containsDate="1" containsMixedTypes="1" minDate="1930-10-01T00:00:00" maxDate="1900-01-05T10:19:04"/>
    </cacheField>
    <cacheField name="COGS" numFmtId="0">
      <sharedItems containsMixedTypes="1" containsNumber="1" minValue="1.028" maxValue="993.91600000000005"/>
    </cacheField>
    <cacheField name="Profit" numFmtId="0">
      <sharedItems containsMixedTypes="1" containsNumber="1" minValue="-990.73900000000003" maxValue="990.72"/>
    </cacheField>
  </cacheFields>
  <extLst>
    <ext xmlns:x14="http://schemas.microsoft.com/office/spreadsheetml/2009/9/main" uri="{725AE2AE-9491-48be-B2B4-4EB974FC3084}">
      <x14:pivotCacheDefinition pivotCacheId="5593085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s v="CUST_ID_001"/>
    <s v="PROD_ID_001"/>
    <x v="0"/>
    <s v="None"/>
    <d v="2020-09-22T00:00:00"/>
    <x v="0"/>
    <x v="0"/>
    <x v="0"/>
    <n v="414"/>
    <s v="6.00"/>
    <s v="188.00"/>
    <n v="77.831999999999994"/>
    <s v="-"/>
    <n v="77.831999999999994"/>
    <s v="43.13"/>
    <n v="2.484"/>
    <n v="75.347999999999999"/>
  </r>
  <r>
    <x v="1"/>
    <x v="1"/>
    <x v="1"/>
    <s v="CUST_ID_002"/>
    <s v="PROD_ID_002"/>
    <x v="1"/>
    <s v="None"/>
    <d v="2020-01-11T00:00:00"/>
    <x v="1"/>
    <x v="1"/>
    <x v="0"/>
    <n v="659"/>
    <s v="12.00"/>
    <s v="23.00"/>
    <n v="15.157"/>
    <s v="-"/>
    <n v="15.157"/>
    <d v="2024-08-01T00:00:00"/>
    <n v="7.9080000000000004"/>
    <n v="7.2489999999999997"/>
  </r>
  <r>
    <x v="2"/>
    <x v="2"/>
    <x v="1"/>
    <s v="CUST_ID_003"/>
    <s v="PROD_ID_002"/>
    <x v="2"/>
    <s v="None"/>
    <d v="2021-01-27T00:00:00"/>
    <x v="1"/>
    <x v="1"/>
    <x v="1"/>
    <n v="946"/>
    <s v="12.00"/>
    <s v="450.00"/>
    <n v="425.7"/>
    <s v="-"/>
    <n v="425.7"/>
    <s v="236.40"/>
    <n v="11.352"/>
    <n v="414.34800000000001"/>
  </r>
  <r>
    <x v="3"/>
    <x v="3"/>
    <x v="1"/>
    <s v="CUST_ID_004"/>
    <s v="PROD_ID_002"/>
    <x v="3"/>
    <s v="None"/>
    <d v="2020-08-01T00:00:00"/>
    <x v="2"/>
    <x v="0"/>
    <x v="0"/>
    <n v="2.0699999999999998"/>
    <s v="12.00"/>
    <s v="525.00"/>
    <s v="1,086,750"/>
    <s v="-"/>
    <s v="1,086,750"/>
    <s v="603.75"/>
    <n v="24.84"/>
    <s v="1,061,910"/>
  </r>
  <r>
    <x v="4"/>
    <x v="4"/>
    <x v="1"/>
    <s v="CUST_ID_005"/>
    <s v="PROD_ID_002"/>
    <x v="4"/>
    <s v="None"/>
    <d v="2021-07-08T00:00:00"/>
    <x v="3"/>
    <x v="0"/>
    <x v="1"/>
    <n v="1.0940000000000001"/>
    <s v="12.00"/>
    <s v="18.00"/>
    <n v="19.692"/>
    <s v="-"/>
    <n v="19.692"/>
    <d v="1994-10-01T00:00:00"/>
    <n v="13.128"/>
    <n v="6.5640000000000001"/>
  </r>
  <r>
    <x v="1"/>
    <x v="5"/>
    <x v="1"/>
    <s v="CUST_ID_006"/>
    <s v="PROD_ID_002"/>
    <x v="5"/>
    <s v="None"/>
    <d v="2021-09-28T00:00:00"/>
    <x v="0"/>
    <x v="0"/>
    <x v="1"/>
    <n v="2.5819999999999999"/>
    <s v="12.00"/>
    <s v="23.00"/>
    <n v="59.386000000000003"/>
    <s v="-"/>
    <n v="59.386000000000003"/>
    <s v="32.28"/>
    <n v="30.984000000000002"/>
    <n v="28.402000000000001"/>
  </r>
  <r>
    <x v="0"/>
    <x v="6"/>
    <x v="2"/>
    <s v="CUST_ID_007"/>
    <s v="PROD_ID_003"/>
    <x v="6"/>
    <s v="None"/>
    <d v="2020-09-26T00:00:00"/>
    <x v="0"/>
    <x v="0"/>
    <x v="0"/>
    <n v="414"/>
    <s v="148.00"/>
    <s v="188.00"/>
    <n v="77.831999999999994"/>
    <s v="-"/>
    <n v="77.831999999999994"/>
    <s v="43.13"/>
    <n v="61.271999999999998"/>
    <n v="16.559999999999999"/>
  </r>
  <r>
    <x v="3"/>
    <x v="7"/>
    <x v="3"/>
    <s v="CUST_ID_008"/>
    <s v="PROD_ID_004"/>
    <x v="7"/>
    <s v="None"/>
    <d v="2020-02-11T00:00:00"/>
    <x v="4"/>
    <x v="1"/>
    <x v="0"/>
    <n v="1.8320000000000001"/>
    <s v="308.00"/>
    <s v="525.00"/>
    <n v="961.8"/>
    <s v="-"/>
    <n v="961.8"/>
    <s v="534.45"/>
    <n v="564.25599999999997"/>
    <n v="397.54399999999998"/>
  </r>
  <r>
    <x v="0"/>
    <x v="0"/>
    <x v="4"/>
    <s v="CUST_ID_009"/>
    <s v="PROD_ID_005"/>
    <x v="8"/>
    <s v="Low"/>
    <d v="2021-01-12T00:00:00"/>
    <x v="1"/>
    <x v="1"/>
    <x v="1"/>
    <n v="396"/>
    <s v="4.00"/>
    <s v="188.00"/>
    <n v="74.447999999999993"/>
    <n v="744"/>
    <n v="73.703999999999994"/>
    <s v="40.84"/>
    <n v="1.5840000000000001"/>
    <n v="72.12"/>
  </r>
  <r>
    <x v="4"/>
    <x v="1"/>
    <x v="4"/>
    <s v="CUST_ID_010"/>
    <s v="PROD_ID_005"/>
    <x v="9"/>
    <s v="Low"/>
    <d v="2021-04-06T00:00:00"/>
    <x v="5"/>
    <x v="2"/>
    <x v="1"/>
    <n v="919"/>
    <s v="4.00"/>
    <s v="18.00"/>
    <n v="16.542000000000002"/>
    <n v="165"/>
    <n v="16.376999999999999"/>
    <d v="2025-10-09T00:00:00"/>
    <n v="3.6760000000000002"/>
    <n v="12.701000000000001"/>
  </r>
  <r>
    <x v="2"/>
    <x v="2"/>
    <x v="4"/>
    <s v="CUST_ID_011"/>
    <s v="PROD_ID_005"/>
    <x v="10"/>
    <s v="Low"/>
    <d v="2020-11-19T00:00:00"/>
    <x v="6"/>
    <x v="3"/>
    <x v="0"/>
    <n v="593"/>
    <s v="4.00"/>
    <s v="450.00"/>
    <n v="266.85000000000002"/>
    <n v="2.669"/>
    <n v="264.18200000000002"/>
    <s v="146.72"/>
    <n v="2.3719999999999999"/>
    <n v="261.81"/>
  </r>
  <r>
    <x v="2"/>
    <x v="3"/>
    <x v="0"/>
    <s v="CUST_ID_012"/>
    <s v="PROD_ID_001"/>
    <x v="11"/>
    <s v="Low"/>
    <d v="2020-12-20T00:00:00"/>
    <x v="7"/>
    <x v="3"/>
    <x v="0"/>
    <n v="2.9980000000000002"/>
    <s v="6.00"/>
    <s v="450.00"/>
    <s v="1,349,100"/>
    <n v="13.491"/>
    <s v="1,335,609"/>
    <s v="741.91"/>
    <n v="17.988"/>
    <s v="1,317,621"/>
  </r>
  <r>
    <x v="0"/>
    <x v="4"/>
    <x v="0"/>
    <s v="CUST_ID_013"/>
    <s v="PROD_ID_001"/>
    <x v="12"/>
    <s v="Low"/>
    <d v="2020-02-27T00:00:00"/>
    <x v="4"/>
    <x v="1"/>
    <x v="0"/>
    <n v="796"/>
    <s v="6.00"/>
    <s v="188.00"/>
    <n v="149.648"/>
    <n v="1.496"/>
    <n v="148.15199999999999"/>
    <s v="82.05"/>
    <n v="4.7759999999999998"/>
    <n v="143.376"/>
  </r>
  <r>
    <x v="4"/>
    <x v="5"/>
    <x v="1"/>
    <s v="CUST_ID_014"/>
    <s v="PROD_ID_002"/>
    <x v="13"/>
    <s v="Low"/>
    <d v="2021-07-10T00:00:00"/>
    <x v="3"/>
    <x v="0"/>
    <x v="1"/>
    <n v="919"/>
    <s v="12.00"/>
    <s v="18.00"/>
    <n v="16.542000000000002"/>
    <n v="165"/>
    <n v="16.376999999999999"/>
    <d v="2025-10-09T00:00:00"/>
    <n v="11.028"/>
    <n v="5.3490000000000002"/>
  </r>
  <r>
    <x v="0"/>
    <x v="6"/>
    <x v="2"/>
    <s v="CUST_ID_015"/>
    <s v="PROD_ID_003"/>
    <x v="14"/>
    <s v="Low"/>
    <d v="2021-03-29T00:00:00"/>
    <x v="8"/>
    <x v="1"/>
    <x v="1"/>
    <n v="796"/>
    <s v="148.00"/>
    <s v="188.00"/>
    <n v="149.648"/>
    <n v="1.496"/>
    <n v="148.15199999999999"/>
    <s v="82.05"/>
    <n v="117.80800000000001"/>
    <n v="30.344000000000001"/>
  </r>
  <r>
    <x v="3"/>
    <x v="7"/>
    <x v="2"/>
    <s v="CUST_ID_016"/>
    <s v="PROD_ID_003"/>
    <x v="15"/>
    <s v="Low"/>
    <d v="2021-10-19T00:00:00"/>
    <x v="9"/>
    <x v="3"/>
    <x v="1"/>
    <n v="2.5099999999999998"/>
    <s v="148.00"/>
    <s v="11.00"/>
    <n v="27.61"/>
    <n v="276"/>
    <n v="27.334"/>
    <s v="14.50"/>
    <n v="371.48"/>
    <n v="-344.14600000000002"/>
  </r>
  <r>
    <x v="2"/>
    <x v="0"/>
    <x v="3"/>
    <s v="CUST_ID_017"/>
    <s v="PROD_ID_004"/>
    <x v="16"/>
    <s v="Low"/>
    <d v="2021-07-31T00:00:00"/>
    <x v="3"/>
    <x v="0"/>
    <x v="1"/>
    <n v="593"/>
    <s v="308.00"/>
    <s v="450.00"/>
    <n v="266.85000000000002"/>
    <n v="2.669"/>
    <n v="264.18200000000002"/>
    <s v="146.72"/>
    <n v="182.64400000000001"/>
    <n v="81.537999999999997"/>
  </r>
  <r>
    <x v="4"/>
    <x v="1"/>
    <x v="5"/>
    <s v="CUST_ID_018"/>
    <s v="PROD_ID_006"/>
    <x v="17"/>
    <s v="Low"/>
    <d v="2021-03-29T00:00:00"/>
    <x v="8"/>
    <x v="1"/>
    <x v="1"/>
    <n v="2.387"/>
    <s v="320.00"/>
    <s v="18.00"/>
    <n v="42.966000000000001"/>
    <n v="430"/>
    <n v="42.536000000000001"/>
    <s v="23.63"/>
    <n v="763.84"/>
    <n v="-721.30399999999997"/>
  </r>
  <r>
    <x v="1"/>
    <x v="2"/>
    <x v="5"/>
    <s v="CUST_ID_019"/>
    <s v="PROD_ID_006"/>
    <x v="18"/>
    <s v="Low"/>
    <d v="2021-07-27T00:00:00"/>
    <x v="3"/>
    <x v="0"/>
    <x v="1"/>
    <n v="385"/>
    <s v="320.00"/>
    <s v="23.00"/>
    <n v="8.8550000000000004"/>
    <n v="89"/>
    <n v="8.766"/>
    <d v="1977-04-01T00:00:00"/>
    <n v="123.2"/>
    <n v="-114.434"/>
  </r>
  <r>
    <x v="2"/>
    <x v="3"/>
    <x v="4"/>
    <s v="CUST_ID_020"/>
    <s v="PROD_ID_005"/>
    <x v="19"/>
    <s v="Low"/>
    <d v="2020-08-30T00:00:00"/>
    <x v="2"/>
    <x v="0"/>
    <x v="0"/>
    <n v="257"/>
    <s v="4.00"/>
    <s v="450.00"/>
    <n v="115.65"/>
    <n v="2.3130000000000002"/>
    <n v="113.337"/>
    <s v="62.92"/>
    <n v="1.028"/>
    <n v="112.309"/>
  </r>
  <r>
    <x v="3"/>
    <x v="4"/>
    <x v="4"/>
    <s v="CUST_ID_021"/>
    <s v="PROD_ID_005"/>
    <x v="20"/>
    <s v="Low"/>
    <d v="2020-10-15T00:00:00"/>
    <x v="9"/>
    <x v="3"/>
    <x v="0"/>
    <n v="2.5739999999999998"/>
    <s v="4.00"/>
    <s v="11.00"/>
    <n v="28.314"/>
    <n v="566"/>
    <n v="27.748000000000001"/>
    <s v="14.71"/>
    <n v="10.295999999999999"/>
    <n v="17.452000000000002"/>
  </r>
  <r>
    <x v="0"/>
    <x v="5"/>
    <x v="0"/>
    <s v="CUST_ID_022"/>
    <s v="PROD_ID_001"/>
    <x v="21"/>
    <s v="Low"/>
    <d v="2021-10-30T00:00:00"/>
    <x v="9"/>
    <x v="3"/>
    <x v="1"/>
    <n v="1.992"/>
    <s v="6.00"/>
    <s v="188.00"/>
    <n v="374.49599999999998"/>
    <n v="7.49"/>
    <n v="367.00599999999997"/>
    <s v="203.35"/>
    <n v="11.952"/>
    <n v="355.05399999999997"/>
  </r>
  <r>
    <x v="0"/>
    <x v="6"/>
    <x v="1"/>
    <s v="CUST_ID_023"/>
    <s v="PROD_ID_002"/>
    <x v="22"/>
    <s v="Low"/>
    <d v="2020-12-10T00:00:00"/>
    <x v="7"/>
    <x v="3"/>
    <x v="0"/>
    <n v="971"/>
    <s v="12.00"/>
    <s v="188.00"/>
    <n v="182.548"/>
    <n v="3.6509999999999998"/>
    <n v="178.89699999999999"/>
    <s v="99.10"/>
    <n v="11.651999999999999"/>
    <n v="167.245"/>
  </r>
  <r>
    <x v="0"/>
    <x v="7"/>
    <x v="1"/>
    <s v="CUST_ID_024"/>
    <s v="PROD_ID_002"/>
    <x v="23"/>
    <s v="Low"/>
    <d v="2020-05-23T00:00:00"/>
    <x v="10"/>
    <x v="2"/>
    <x v="0"/>
    <n v="2.5739999999999998"/>
    <s v="12.00"/>
    <s v="188.00"/>
    <n v="483.91199999999998"/>
    <n v="9.6780000000000008"/>
    <n v="474.23399999999998"/>
    <s v="262.76"/>
    <n v="30.888000000000002"/>
    <n v="443.346"/>
  </r>
  <r>
    <x v="4"/>
    <x v="0"/>
    <x v="1"/>
    <s v="CUST_ID_025"/>
    <s v="PROD_ID_002"/>
    <x v="24"/>
    <s v="Low"/>
    <d v="2020-02-18T00:00:00"/>
    <x v="4"/>
    <x v="1"/>
    <x v="0"/>
    <n v="2.1419999999999999"/>
    <s v="12.00"/>
    <s v="18.00"/>
    <n v="38.555999999999997"/>
    <n v="771"/>
    <n v="37.784999999999997"/>
    <s v="20.99"/>
    <n v="25.704000000000001"/>
    <n v="12.081"/>
  </r>
  <r>
    <x v="1"/>
    <x v="1"/>
    <x v="1"/>
    <s v="CUST_ID_026"/>
    <s v="PROD_ID_002"/>
    <x v="25"/>
    <s v="Low"/>
    <d v="2020-01-28T00:00:00"/>
    <x v="1"/>
    <x v="1"/>
    <x v="0"/>
    <n v="2.31"/>
    <s v="12.00"/>
    <s v="23.00"/>
    <n v="53.13"/>
    <n v="1.0629999999999999"/>
    <n v="52.067"/>
    <s v="28.30"/>
    <n v="27.72"/>
    <n v="24.347000000000001"/>
  </r>
  <r>
    <x v="3"/>
    <x v="2"/>
    <x v="1"/>
    <s v="CUST_ID_027"/>
    <s v="PROD_ID_002"/>
    <x v="26"/>
    <s v="Low"/>
    <d v="2021-12-21T00:00:00"/>
    <x v="7"/>
    <x v="3"/>
    <x v="1"/>
    <n v="2.4159999999999999"/>
    <s v="12.00"/>
    <s v="11.00"/>
    <n v="26.576000000000001"/>
    <n v="532"/>
    <n v="26.044"/>
    <s v="13.81"/>
    <n v="28.992000000000001"/>
    <n v="-2.948"/>
  </r>
  <r>
    <x v="3"/>
    <x v="3"/>
    <x v="2"/>
    <s v="CUST_ID_028"/>
    <s v="PROD_ID_003"/>
    <x v="27"/>
    <s v="Low"/>
    <d v="2021-01-13T00:00:00"/>
    <x v="1"/>
    <x v="1"/>
    <x v="1"/>
    <n v="3.5590000000000002"/>
    <s v="148.00"/>
    <s v="525.00"/>
    <s v="1,868,475"/>
    <n v="37.369999999999997"/>
    <s v="1,831,106"/>
    <s v="1,017.34"/>
    <n v="526.73199999999997"/>
    <s v="1,304,374"/>
  </r>
  <r>
    <x v="0"/>
    <x v="4"/>
    <x v="2"/>
    <s v="CUST_ID_029"/>
    <s v="PROD_ID_003"/>
    <x v="28"/>
    <s v="Low"/>
    <d v="2021-11-08T00:00:00"/>
    <x v="6"/>
    <x v="3"/>
    <x v="1"/>
    <n v="971"/>
    <s v="148.00"/>
    <s v="188.00"/>
    <n v="182.548"/>
    <n v="3.6509999999999998"/>
    <n v="178.89699999999999"/>
    <s v="99.10"/>
    <n v="143.708"/>
    <n v="35.189"/>
  </r>
  <r>
    <x v="0"/>
    <x v="5"/>
    <x v="2"/>
    <s v="CUST_ID_030"/>
    <s v="PROD_ID_003"/>
    <x v="29"/>
    <s v="Low"/>
    <d v="2020-01-19T00:00:00"/>
    <x v="1"/>
    <x v="1"/>
    <x v="0"/>
    <n v="2.5739999999999998"/>
    <s v="148.00"/>
    <s v="188.00"/>
    <n v="483.91199999999998"/>
    <n v="9.6780000000000008"/>
    <n v="474.23399999999998"/>
    <s v="262.76"/>
    <n v="380.952"/>
    <n v="93.281999999999996"/>
  </r>
  <r>
    <x v="3"/>
    <x v="6"/>
    <x v="2"/>
    <s v="CUST_ID_031"/>
    <s v="PROD_ID_003"/>
    <x v="30"/>
    <s v="Low"/>
    <d v="2020-07-30T00:00:00"/>
    <x v="3"/>
    <x v="0"/>
    <x v="0"/>
    <n v="653"/>
    <s v="148.00"/>
    <s v="30.00"/>
    <n v="19.59"/>
    <n v="392"/>
    <n v="19.198"/>
    <d v="1966-10-01T00:00:00"/>
    <n v="96.644000000000005"/>
    <n v="-77.445999999999998"/>
  </r>
  <r>
    <x v="2"/>
    <x v="7"/>
    <x v="3"/>
    <s v="CUST_ID_032"/>
    <s v="PROD_ID_004"/>
    <x v="31"/>
    <s v="Low"/>
    <d v="2020-02-21T00:00:00"/>
    <x v="4"/>
    <x v="1"/>
    <x v="0"/>
    <n v="257"/>
    <s v="308.00"/>
    <s v="450.00"/>
    <n v="115.65"/>
    <n v="2.3130000000000002"/>
    <n v="113.337"/>
    <s v="62.92"/>
    <n v="79.156000000000006"/>
    <n v="34.180999999999997"/>
  </r>
  <r>
    <x v="3"/>
    <x v="0"/>
    <x v="3"/>
    <s v="CUST_ID_033"/>
    <s v="PROD_ID_004"/>
    <x v="32"/>
    <s v="Low"/>
    <d v="2021-01-28T00:00:00"/>
    <x v="1"/>
    <x v="1"/>
    <x v="1"/>
    <n v="319"/>
    <s v="308.00"/>
    <s v="525.00"/>
    <n v="167.47499999999999"/>
    <n v="3.35"/>
    <n v="164.126"/>
    <s v="91.24"/>
    <n v="98.251999999999995"/>
    <n v="65.873999999999995"/>
  </r>
  <r>
    <x v="3"/>
    <x v="1"/>
    <x v="3"/>
    <s v="CUST_ID_034"/>
    <s v="PROD_ID_004"/>
    <x v="33"/>
    <s v="Low"/>
    <d v="2021-01-12T00:00:00"/>
    <x v="1"/>
    <x v="1"/>
    <x v="1"/>
    <n v="2.3279999999999998"/>
    <s v="308.00"/>
    <s v="525.00"/>
    <s v="1,222,200"/>
    <n v="24.443999999999999"/>
    <s v="1,197,756"/>
    <s v="665.42"/>
    <n v="717.024"/>
    <n v="480.73200000000003"/>
  </r>
  <r>
    <x v="3"/>
    <x v="2"/>
    <x v="5"/>
    <s v="CUST_ID_035"/>
    <s v="PROD_ID_006"/>
    <x v="34"/>
    <s v="Low"/>
    <d v="2021-07-01T00:00:00"/>
    <x v="3"/>
    <x v="0"/>
    <x v="1"/>
    <n v="3.5590000000000002"/>
    <s v="320.00"/>
    <s v="525.00"/>
    <s v="1,868,475"/>
    <n v="37.369999999999997"/>
    <s v="1,831,106"/>
    <s v="1,017.34"/>
    <s v="1,138,880"/>
    <n v="692.226"/>
  </r>
  <r>
    <x v="4"/>
    <x v="3"/>
    <x v="4"/>
    <s v="CUST_ID_036"/>
    <s v="PROD_ID_005"/>
    <x v="35"/>
    <s v="Low"/>
    <d v="2021-12-11T00:00:00"/>
    <x v="7"/>
    <x v="3"/>
    <x v="1"/>
    <n v="1.0900000000000001"/>
    <s v="4.00"/>
    <s v="18.00"/>
    <n v="19.62"/>
    <n v="589"/>
    <n v="19.030999999999999"/>
    <d v="1957-10-01T00:00:00"/>
    <n v="4.3600000000000003"/>
    <n v="14.670999999999999"/>
  </r>
  <r>
    <x v="3"/>
    <x v="4"/>
    <x v="0"/>
    <s v="CUST_ID_037"/>
    <s v="PROD_ID_001"/>
    <x v="36"/>
    <s v="Low"/>
    <d v="2020-05-16T00:00:00"/>
    <x v="10"/>
    <x v="2"/>
    <x v="0"/>
    <n v="2.1560000000000001"/>
    <s v="6.00"/>
    <s v="525.00"/>
    <s v="1,131,900"/>
    <n v="33.957000000000001"/>
    <s v="1,097,943"/>
    <s v="610.08"/>
    <n v="12.936"/>
    <s v="1,085,007"/>
  </r>
  <r>
    <x v="1"/>
    <x v="5"/>
    <x v="1"/>
    <s v="CUST_ID_038"/>
    <s v="PROD_ID_002"/>
    <x v="37"/>
    <s v="Low"/>
    <d v="2021-05-02T00:00:00"/>
    <x v="10"/>
    <x v="2"/>
    <x v="1"/>
    <n v="2.3340000000000001"/>
    <s v="12.00"/>
    <s v="23.00"/>
    <n v="53.682000000000002"/>
    <n v="1.61"/>
    <n v="52.072000000000003"/>
    <s v="28.30"/>
    <n v="28.007999999999999"/>
    <n v="24.064"/>
  </r>
  <r>
    <x v="1"/>
    <x v="6"/>
    <x v="3"/>
    <s v="CUST_ID_039"/>
    <s v="PROD_ID_004"/>
    <x v="38"/>
    <s v="Low"/>
    <d v="2021-04-02T00:00:00"/>
    <x v="5"/>
    <x v="2"/>
    <x v="1"/>
    <n v="2.3340000000000001"/>
    <s v="308.00"/>
    <s v="23.00"/>
    <n v="53.682000000000002"/>
    <n v="1.61"/>
    <n v="52.072000000000003"/>
    <s v="28.30"/>
    <n v="718.87199999999996"/>
    <n v="-666.8"/>
  </r>
  <r>
    <x v="3"/>
    <x v="7"/>
    <x v="1"/>
    <s v="CUST_ID_040"/>
    <s v="PROD_ID_002"/>
    <x v="39"/>
    <s v="Low"/>
    <d v="2020-11-03T00:00:00"/>
    <x v="6"/>
    <x v="3"/>
    <x v="0"/>
    <n v="2.1120000000000001"/>
    <s v="12.00"/>
    <s v="11.00"/>
    <n v="23.231999999999999"/>
    <n v="697"/>
    <n v="22.535"/>
    <d v="1995-11-01T00:00:00"/>
    <n v="25.344000000000001"/>
    <n v="-2.8090000000000002"/>
  </r>
  <r>
    <x v="1"/>
    <x v="1"/>
    <x v="1"/>
    <s v="CUST_ID_002"/>
    <s v="PROD_ID_002"/>
    <x v="1"/>
    <s v="Low"/>
    <d v="2021-04-10T00:00:00"/>
    <x v="5"/>
    <x v="2"/>
    <x v="1"/>
    <n v="2.7130000000000001"/>
    <s v="12.00"/>
    <s v="23.00"/>
    <n v="62.399000000000001"/>
    <n v="2.496"/>
    <n v="59.902999999999999"/>
    <s v="32.56"/>
    <n v="32.555999999999997"/>
    <n v="27.347000000000001"/>
  </r>
  <r>
    <x v="3"/>
    <x v="0"/>
    <x v="2"/>
    <s v="CUST_ID_041"/>
    <s v="PROD_ID_003"/>
    <x v="40"/>
    <s v="Low"/>
    <d v="2021-07-12T00:00:00"/>
    <x v="3"/>
    <x v="0"/>
    <x v="1"/>
    <n v="883"/>
    <s v="148.00"/>
    <s v="30.00"/>
    <n v="26.49"/>
    <n v="1.06"/>
    <n v="25.43"/>
    <s v="14.13"/>
    <n v="130.684"/>
    <n v="-105.254"/>
  </r>
  <r>
    <x v="3"/>
    <x v="1"/>
    <x v="4"/>
    <s v="CUST_ID_042"/>
    <s v="PROD_ID_005"/>
    <x v="41"/>
    <s v="Low"/>
    <d v="2021-12-20T00:00:00"/>
    <x v="7"/>
    <x v="3"/>
    <x v="1"/>
    <n v="3.4209999999999998"/>
    <s v="4.00"/>
    <s v="11.00"/>
    <n v="37.631"/>
    <n v="1.5049999999999999"/>
    <n v="36.125999999999998"/>
    <s v="19.16"/>
    <n v="13.683999999999999"/>
    <n v="22.442"/>
  </r>
  <r>
    <x v="3"/>
    <x v="2"/>
    <x v="0"/>
    <s v="CUST_ID_043"/>
    <s v="PROD_ID_001"/>
    <x v="42"/>
    <s v="Low"/>
    <d v="2020-07-14T00:00:00"/>
    <x v="3"/>
    <x v="0"/>
    <x v="0"/>
    <n v="3.4209999999999998"/>
    <s v="6.00"/>
    <s v="11.00"/>
    <n v="37.631"/>
    <n v="1.5049999999999999"/>
    <n v="36.125999999999998"/>
    <s v="19.16"/>
    <n v="20.526"/>
    <n v="15.6"/>
  </r>
  <r>
    <x v="1"/>
    <x v="1"/>
    <x v="1"/>
    <s v="CUST_ID_026"/>
    <s v="PROD_ID_002"/>
    <x v="25"/>
    <s v="Low"/>
    <d v="2020-01-15T00:00:00"/>
    <x v="1"/>
    <x v="1"/>
    <x v="0"/>
    <n v="805"/>
    <s v="12.00"/>
    <s v="23.00"/>
    <n v="18.515000000000001"/>
    <n v="741"/>
    <n v="17.774000000000001"/>
    <d v="1966-09-01T00:00:00"/>
    <n v="9.66"/>
    <n v="8.1140000000000008"/>
  </r>
  <r>
    <x v="1"/>
    <x v="3"/>
    <x v="1"/>
    <s v="CUST_ID_044"/>
    <s v="PROD_ID_002"/>
    <x v="43"/>
    <s v="Low"/>
    <d v="2021-03-22T00:00:00"/>
    <x v="8"/>
    <x v="1"/>
    <x v="1"/>
    <n v="1.8169999999999999"/>
    <s v="12.00"/>
    <s v="23.00"/>
    <n v="41.790999999999997"/>
    <n v="1.6719999999999999"/>
    <n v="40.119"/>
    <s v="21.80"/>
    <n v="21.803999999999998"/>
    <n v="18.315000000000001"/>
  </r>
  <r>
    <x v="3"/>
    <x v="7"/>
    <x v="2"/>
    <s v="CUST_ID_016"/>
    <s v="PROD_ID_003"/>
    <x v="15"/>
    <s v="Low"/>
    <d v="2021-06-05T00:00:00"/>
    <x v="11"/>
    <x v="2"/>
    <x v="1"/>
    <n v="3.1749999999999998"/>
    <s v="148.00"/>
    <s v="30.00"/>
    <n v="95.25"/>
    <n v="3.81"/>
    <n v="91.44"/>
    <s v="50.80"/>
    <n v="469.9"/>
    <n v="-378.46"/>
  </r>
  <r>
    <x v="3"/>
    <x v="0"/>
    <x v="3"/>
    <s v="CUST_ID_033"/>
    <s v="PROD_ID_004"/>
    <x v="32"/>
    <s v="Low"/>
    <d v="2020-02-16T00:00:00"/>
    <x v="4"/>
    <x v="1"/>
    <x v="0"/>
    <n v="419"/>
    <s v="308.00"/>
    <s v="525.00"/>
    <n v="219.97499999999999"/>
    <n v="8.7989999999999995"/>
    <n v="211.17599999999999"/>
    <s v="117.26"/>
    <n v="129.05199999999999"/>
    <n v="82.123999999999995"/>
  </r>
  <r>
    <x v="1"/>
    <x v="4"/>
    <x v="3"/>
    <s v="CUST_ID_045"/>
    <s v="PROD_ID_004"/>
    <x v="44"/>
    <s v="Low"/>
    <d v="2020-09-15T00:00:00"/>
    <x v="0"/>
    <x v="0"/>
    <x v="0"/>
    <n v="1.8169999999999999"/>
    <s v="308.00"/>
    <s v="23.00"/>
    <n v="41.790999999999997"/>
    <n v="1.6719999999999999"/>
    <n v="40.119"/>
    <s v="21.80"/>
    <n v="559.63599999999997"/>
    <n v="-519.51700000000005"/>
  </r>
  <r>
    <x v="1"/>
    <x v="5"/>
    <x v="5"/>
    <s v="CUST_ID_046"/>
    <s v="PROD_ID_006"/>
    <x v="45"/>
    <s v="Low"/>
    <d v="2021-10-19T00:00:00"/>
    <x v="9"/>
    <x v="3"/>
    <x v="1"/>
    <n v="805"/>
    <s v="320.00"/>
    <s v="23.00"/>
    <n v="18.515000000000001"/>
    <n v="741"/>
    <n v="17.774000000000001"/>
    <d v="1966-09-01T00:00:00"/>
    <n v="257.60000000000002"/>
    <n v="-239.82599999999999"/>
  </r>
  <r>
    <x v="3"/>
    <x v="6"/>
    <x v="5"/>
    <s v="CUST_ID_047"/>
    <s v="PROD_ID_006"/>
    <x v="46"/>
    <s v="Low"/>
    <d v="2020-12-31T00:00:00"/>
    <x v="7"/>
    <x v="3"/>
    <x v="0"/>
    <n v="2.1339999999999999"/>
    <s v="320.00"/>
    <s v="525.00"/>
    <s v="1,120,350"/>
    <n v="44.814"/>
    <s v="1,075,536"/>
    <s v="597.41"/>
    <n v="682.88"/>
    <n v="392.65600000000001"/>
  </r>
  <r>
    <x v="3"/>
    <x v="4"/>
    <x v="0"/>
    <s v="CUST_ID_037"/>
    <s v="PROD_ID_001"/>
    <x v="36"/>
    <s v="Medium"/>
    <d v="2021-08-17T00:00:00"/>
    <x v="2"/>
    <x v="0"/>
    <x v="1"/>
    <n v="1.391"/>
    <s v="6.00"/>
    <s v="11.00"/>
    <n v="15.301"/>
    <n v="765"/>
    <n v="14.536"/>
    <d v="1971-07-01T00:00:00"/>
    <n v="8.3460000000000001"/>
    <n v="6.19"/>
  </r>
  <r>
    <x v="3"/>
    <x v="3"/>
    <x v="1"/>
    <s v="CUST_ID_004"/>
    <s v="PROD_ID_002"/>
    <x v="3"/>
    <s v="Medium"/>
    <d v="2021-09-28T00:00:00"/>
    <x v="0"/>
    <x v="0"/>
    <x v="1"/>
    <n v="2.819"/>
    <s v="12.00"/>
    <s v="11.00"/>
    <n v="31.009"/>
    <n v="1.55"/>
    <n v="29.459"/>
    <s v="15.62"/>
    <n v="33.828000000000003"/>
    <n v="-4.3689999999999998"/>
  </r>
  <r>
    <x v="3"/>
    <x v="2"/>
    <x v="5"/>
    <s v="CUST_ID_035"/>
    <s v="PROD_ID_006"/>
    <x v="34"/>
    <s v="Medium"/>
    <d v="2020-03-28T00:00:00"/>
    <x v="8"/>
    <x v="1"/>
    <x v="0"/>
    <n v="1.391"/>
    <s v="320.00"/>
    <s v="11.00"/>
    <n v="15.301"/>
    <n v="765"/>
    <n v="14.536"/>
    <d v="1971-07-01T00:00:00"/>
    <n v="445.12"/>
    <n v="-430.584"/>
  </r>
  <r>
    <x v="3"/>
    <x v="7"/>
    <x v="4"/>
    <s v="CUST_ID_048"/>
    <s v="PROD_ID_005"/>
    <x v="47"/>
    <s v="Medium"/>
    <d v="2021-05-24T00:00:00"/>
    <x v="10"/>
    <x v="2"/>
    <x v="1"/>
    <n v="1.2190000000000001"/>
    <s v="4.00"/>
    <s v="11.00"/>
    <n v="13.409000000000001"/>
    <n v="670"/>
    <n v="12.739000000000001"/>
    <d v="1976-06-01T00:00:00"/>
    <n v="4.8760000000000003"/>
    <n v="7.8630000000000004"/>
  </r>
  <r>
    <x v="3"/>
    <x v="0"/>
    <x v="0"/>
    <s v="CUST_ID_049"/>
    <s v="PROD_ID_001"/>
    <x v="48"/>
    <s v="Medium"/>
    <d v="2020-04-08T00:00:00"/>
    <x v="5"/>
    <x v="2"/>
    <x v="0"/>
    <n v="864"/>
    <s v="6.00"/>
    <s v="525.00"/>
    <n v="453.6"/>
    <n v="22.68"/>
    <n v="430.92"/>
    <s v="239.40"/>
    <n v="5.1840000000000002"/>
    <n v="425.73599999999999"/>
  </r>
  <r>
    <x v="2"/>
    <x v="1"/>
    <x v="0"/>
    <s v="CUST_ID_050"/>
    <s v="PROD_ID_001"/>
    <x v="49"/>
    <s v="Medium"/>
    <d v="2020-01-20T00:00:00"/>
    <x v="1"/>
    <x v="1"/>
    <x v="0"/>
    <n v="1.32"/>
    <s v="6.00"/>
    <s v="450.00"/>
    <n v="594"/>
    <n v="29.7"/>
    <n v="564.29999999999995"/>
    <s v="313.50"/>
    <n v="7.92"/>
    <n v="556.38"/>
  </r>
  <r>
    <x v="3"/>
    <x v="3"/>
    <x v="1"/>
    <s v="CUST_ID_004"/>
    <s v="PROD_ID_002"/>
    <x v="3"/>
    <s v="Medium"/>
    <d v="2020-01-09T00:00:00"/>
    <x v="1"/>
    <x v="1"/>
    <x v="0"/>
    <n v="1.474"/>
    <s v="12.00"/>
    <s v="525.00"/>
    <n v="773.85"/>
    <n v="38.692999999999998"/>
    <n v="735.15800000000002"/>
    <s v="408.31"/>
    <n v="17.687999999999999"/>
    <n v="717.47"/>
  </r>
  <r>
    <x v="3"/>
    <x v="3"/>
    <x v="1"/>
    <s v="CUST_ID_004"/>
    <s v="PROD_ID_002"/>
    <x v="3"/>
    <s v="Medium"/>
    <d v="2020-12-16T00:00:00"/>
    <x v="7"/>
    <x v="3"/>
    <x v="0"/>
    <n v="1.667"/>
    <s v="12.00"/>
    <s v="30.00"/>
    <n v="50.01"/>
    <n v="2.5009999999999999"/>
    <n v="47.51"/>
    <s v="26.39"/>
    <n v="20.004000000000001"/>
    <n v="27.506"/>
  </r>
  <r>
    <x v="0"/>
    <x v="2"/>
    <x v="1"/>
    <s v="CUST_ID_051"/>
    <s v="PROD_ID_002"/>
    <x v="50"/>
    <s v="Medium"/>
    <d v="2020-07-25T00:00:00"/>
    <x v="3"/>
    <x v="0"/>
    <x v="0"/>
    <n v="845"/>
    <s v="12.00"/>
    <s v="188.00"/>
    <n v="158.86000000000001"/>
    <n v="7.9429999999999996"/>
    <n v="150.917"/>
    <s v="83.60"/>
    <n v="10.14"/>
    <n v="140.77699999999999"/>
  </r>
  <r>
    <x v="3"/>
    <x v="3"/>
    <x v="1"/>
    <s v="CUST_ID_004"/>
    <s v="PROD_ID_002"/>
    <x v="3"/>
    <s v="Medium"/>
    <d v="2020-09-30T00:00:00"/>
    <x v="0"/>
    <x v="0"/>
    <x v="0"/>
    <n v="2.1619999999999999"/>
    <s v="12.00"/>
    <s v="30.00"/>
    <n v="64.86"/>
    <n v="3.2429999999999999"/>
    <n v="61.616999999999997"/>
    <s v="34.24"/>
    <n v="25.943999999999999"/>
    <n v="35.673000000000002"/>
  </r>
  <r>
    <x v="3"/>
    <x v="3"/>
    <x v="1"/>
    <s v="CUST_ID_052"/>
    <s v="PROD_ID_002"/>
    <x v="51"/>
    <s v="Medium"/>
    <d v="2020-07-22T00:00:00"/>
    <x v="3"/>
    <x v="0"/>
    <x v="0"/>
    <n v="2.5630000000000002"/>
    <s v="12.00"/>
    <s v="11.00"/>
    <n v="28.193000000000001"/>
    <n v="1.41"/>
    <n v="26.783000000000001"/>
    <s v="14.20"/>
    <n v="30.756"/>
    <n v="-3.9729999999999999"/>
  </r>
  <r>
    <x v="1"/>
    <x v="5"/>
    <x v="1"/>
    <s v="CUST_ID_038"/>
    <s v="PROD_ID_002"/>
    <x v="37"/>
    <s v="Medium"/>
    <d v="2021-03-16T00:00:00"/>
    <x v="8"/>
    <x v="1"/>
    <x v="1"/>
    <n v="2.5390000000000001"/>
    <s v="12.00"/>
    <s v="23.00"/>
    <n v="58.396999999999998"/>
    <n v="2.92"/>
    <n v="55.476999999999997"/>
    <s v="30.15"/>
    <n v="30.468"/>
    <n v="25.009"/>
  </r>
  <r>
    <x v="0"/>
    <x v="4"/>
    <x v="2"/>
    <s v="CUST_ID_053"/>
    <s v="PROD_ID_003"/>
    <x v="52"/>
    <s v="Medium"/>
    <d v="2020-04-25T00:00:00"/>
    <x v="5"/>
    <x v="2"/>
    <x v="0"/>
    <n v="845"/>
    <s v="148.00"/>
    <s v="188.00"/>
    <n v="158.86000000000001"/>
    <n v="7.9429999999999996"/>
    <n v="150.917"/>
    <s v="83.60"/>
    <n v="125.06"/>
    <n v="25.856999999999999"/>
  </r>
  <r>
    <x v="3"/>
    <x v="5"/>
    <x v="2"/>
    <s v="CUST_ID_054"/>
    <s v="PROD_ID_003"/>
    <x v="53"/>
    <s v="Medium"/>
    <d v="2021-10-28T00:00:00"/>
    <x v="9"/>
    <x v="3"/>
    <x v="1"/>
    <n v="1.24"/>
    <s v="148.00"/>
    <s v="30.00"/>
    <n v="37.200000000000003"/>
    <n v="1.86"/>
    <n v="35.340000000000003"/>
    <s v="19.63"/>
    <n v="183.52"/>
    <n v="-148.18"/>
  </r>
  <r>
    <x v="3"/>
    <x v="6"/>
    <x v="3"/>
    <s v="CUST_ID_055"/>
    <s v="PROD_ID_004"/>
    <x v="54"/>
    <s v="Medium"/>
    <d v="2020-09-07T00:00:00"/>
    <x v="0"/>
    <x v="0"/>
    <x v="0"/>
    <n v="1.667"/>
    <s v="308.00"/>
    <s v="30.00"/>
    <n v="50.01"/>
    <n v="2.5009999999999999"/>
    <n v="47.51"/>
    <s v="26.39"/>
    <n v="513.43600000000004"/>
    <n v="-465.92700000000002"/>
  </r>
  <r>
    <x v="3"/>
    <x v="0"/>
    <x v="3"/>
    <s v="CUST_ID_033"/>
    <s v="PROD_ID_004"/>
    <x v="32"/>
    <s v="Medium"/>
    <d v="2020-07-03T00:00:00"/>
    <x v="3"/>
    <x v="0"/>
    <x v="0"/>
    <n v="1.518"/>
    <s v="308.00"/>
    <s v="30.00"/>
    <n v="45.54"/>
    <n v="2.2770000000000001"/>
    <n v="43.262999999999998"/>
    <d v="2025-04-24T00:00:00"/>
    <n v="467.54399999999998"/>
    <n v="-424.28100000000001"/>
  </r>
  <r>
    <x v="3"/>
    <x v="7"/>
    <x v="3"/>
    <s v="CUST_ID_056"/>
    <s v="PROD_ID_004"/>
    <x v="55"/>
    <s v="Medium"/>
    <d v="2020-07-31T00:00:00"/>
    <x v="3"/>
    <x v="0"/>
    <x v="0"/>
    <n v="2.7559999999999998"/>
    <s v="308.00"/>
    <s v="30.00"/>
    <n v="82.68"/>
    <n v="4.1340000000000003"/>
    <n v="78.546000000000006"/>
    <s v="43.64"/>
    <n v="848.84799999999996"/>
    <n v="-770.30200000000002"/>
  </r>
  <r>
    <x v="3"/>
    <x v="6"/>
    <x v="5"/>
    <s v="CUST_ID_047"/>
    <s v="PROD_ID_006"/>
    <x v="46"/>
    <s v="Medium"/>
    <d v="2021-01-11T00:00:00"/>
    <x v="1"/>
    <x v="1"/>
    <x v="1"/>
    <n v="1.474"/>
    <s v="320.00"/>
    <s v="525.00"/>
    <n v="773.85"/>
    <n v="38.692999999999998"/>
    <n v="735.15800000000002"/>
    <s v="408.31"/>
    <n v="471.68"/>
    <n v="263.47800000000001"/>
  </r>
  <r>
    <x v="4"/>
    <x v="3"/>
    <x v="4"/>
    <s v="CUST_ID_036"/>
    <s v="PROD_ID_005"/>
    <x v="35"/>
    <s v="Medium"/>
    <d v="2021-01-01T00:00:00"/>
    <x v="1"/>
    <x v="1"/>
    <x v="1"/>
    <n v="2.7589999999999999"/>
    <s v="4.00"/>
    <s v="18.00"/>
    <n v="49.661999999999999"/>
    <n v="2.98"/>
    <n v="46.682000000000002"/>
    <s v="25.93"/>
    <n v="11.036"/>
    <n v="35.646000000000001"/>
  </r>
  <r>
    <x v="3"/>
    <x v="0"/>
    <x v="4"/>
    <s v="CUST_ID_057"/>
    <s v="PROD_ID_005"/>
    <x v="56"/>
    <s v="Medium"/>
    <d v="2020-04-15T00:00:00"/>
    <x v="5"/>
    <x v="2"/>
    <x v="0"/>
    <n v="316"/>
    <s v="4.00"/>
    <s v="11.00"/>
    <n v="3.476"/>
    <n v="209"/>
    <n v="3.2669999999999999"/>
    <d v="1973-01-01T00:00:00"/>
    <n v="1.264"/>
    <n v="2.0030000000000001"/>
  </r>
  <r>
    <x v="0"/>
    <x v="1"/>
    <x v="4"/>
    <s v="CUST_ID_058"/>
    <s v="PROD_ID_005"/>
    <x v="57"/>
    <s v="Medium"/>
    <d v="2021-08-16T00:00:00"/>
    <x v="2"/>
    <x v="0"/>
    <x v="1"/>
    <n v="1.0640000000000001"/>
    <s v="4.00"/>
    <s v="188.00"/>
    <n v="200.03200000000001"/>
    <n v="12.002000000000001"/>
    <n v="188.03"/>
    <s v="104.22"/>
    <n v="4.2560000000000002"/>
    <n v="183.774"/>
  </r>
  <r>
    <x v="3"/>
    <x v="2"/>
    <x v="0"/>
    <s v="CUST_ID_059"/>
    <s v="PROD_ID_001"/>
    <x v="58"/>
    <s v="Medium"/>
    <d v="2021-09-25T00:00:00"/>
    <x v="0"/>
    <x v="0"/>
    <x v="1"/>
    <n v="1.6839999999999999"/>
    <s v="6.00"/>
    <s v="11.00"/>
    <n v="18.524000000000001"/>
    <n v="1.111"/>
    <n v="17.413"/>
    <d v="2023-09-01T00:00:00"/>
    <n v="10.103999999999999"/>
    <n v="7.3090000000000002"/>
  </r>
  <r>
    <x v="4"/>
    <x v="3"/>
    <x v="1"/>
    <s v="CUST_ID_060"/>
    <s v="PROD_ID_002"/>
    <x v="41"/>
    <s v="Medium"/>
    <d v="2020-04-25T00:00:00"/>
    <x v="5"/>
    <x v="2"/>
    <x v="0"/>
    <n v="2.7589999999999999"/>
    <s v="12.00"/>
    <s v="18.00"/>
    <n v="49.661999999999999"/>
    <n v="2.98"/>
    <n v="46.682000000000002"/>
    <s v="25.93"/>
    <n v="33.107999999999997"/>
    <n v="13.574"/>
  </r>
  <r>
    <x v="3"/>
    <x v="2"/>
    <x v="1"/>
    <s v="CUST_ID_027"/>
    <s v="PROD_ID_002"/>
    <x v="26"/>
    <s v="Medium"/>
    <d v="2021-04-19T00:00:00"/>
    <x v="5"/>
    <x v="2"/>
    <x v="1"/>
    <n v="872"/>
    <s v="12.00"/>
    <s v="525.00"/>
    <n v="457.8"/>
    <n v="27.468"/>
    <n v="430.33199999999999"/>
    <s v="239.18"/>
    <n v="10.464"/>
    <n v="419.86799999999999"/>
  </r>
  <r>
    <x v="2"/>
    <x v="4"/>
    <x v="2"/>
    <s v="CUST_ID_061"/>
    <s v="PROD_ID_003"/>
    <x v="59"/>
    <s v="Medium"/>
    <d v="2020-05-25T00:00:00"/>
    <x v="10"/>
    <x v="2"/>
    <x v="0"/>
    <n v="1.4650000000000001"/>
    <s v="148.00"/>
    <s v="450.00"/>
    <n v="659.25"/>
    <n v="39.555"/>
    <n v="619.69500000000005"/>
    <s v="344.32"/>
    <n v="216.82"/>
    <n v="402.875"/>
  </r>
  <r>
    <x v="3"/>
    <x v="5"/>
    <x v="2"/>
    <s v="CUST_ID_054"/>
    <s v="PROD_ID_003"/>
    <x v="53"/>
    <s v="Medium"/>
    <d v="2020-09-24T00:00:00"/>
    <x v="0"/>
    <x v="0"/>
    <x v="0"/>
    <n v="2.4910000000000001"/>
    <s v="148.00"/>
    <s v="525.00"/>
    <s v="1,307,775"/>
    <n v="78.466999999999999"/>
    <s v="1,229,309"/>
    <s v="683.00"/>
    <n v="368.66800000000001"/>
    <n v="860.64099999999996"/>
  </r>
  <r>
    <x v="2"/>
    <x v="5"/>
    <x v="3"/>
    <s v="CUST_ID_062"/>
    <s v="PROD_ID_004"/>
    <x v="60"/>
    <s v="Medium"/>
    <d v="2020-08-20T00:00:00"/>
    <x v="2"/>
    <x v="0"/>
    <x v="0"/>
    <n v="1.4650000000000001"/>
    <s v="308.00"/>
    <s v="450.00"/>
    <n v="659.25"/>
    <n v="39.555"/>
    <n v="619.69500000000005"/>
    <s v="344.32"/>
    <n v="451.22"/>
    <n v="168.47499999999999"/>
  </r>
  <r>
    <x v="3"/>
    <x v="1"/>
    <x v="3"/>
    <s v="CUST_ID_034"/>
    <s v="PROD_ID_004"/>
    <x v="33"/>
    <s v="Medium"/>
    <d v="2021-07-25T00:00:00"/>
    <x v="3"/>
    <x v="0"/>
    <x v="1"/>
    <n v="1.3480000000000001"/>
    <s v="308.00"/>
    <s v="30.00"/>
    <n v="40.44"/>
    <n v="2.4260000000000002"/>
    <n v="38.014000000000003"/>
    <d v="2025-11-21T00:00:00"/>
    <n v="415.18400000000003"/>
    <n v="-377.17"/>
  </r>
  <r>
    <x v="2"/>
    <x v="6"/>
    <x v="3"/>
    <s v="CUST_ID_063"/>
    <s v="PROD_ID_004"/>
    <x v="61"/>
    <s v="Medium"/>
    <d v="2020-03-05T00:00:00"/>
    <x v="8"/>
    <x v="1"/>
    <x v="0"/>
    <n v="2.923"/>
    <s v="308.00"/>
    <s v="450.00"/>
    <s v="1,315,350"/>
    <n v="78.921000000000006"/>
    <s v="1,236,429"/>
    <s v="686.95"/>
    <n v="900.28399999999999"/>
    <n v="336.14499999999998"/>
  </r>
  <r>
    <x v="3"/>
    <x v="7"/>
    <x v="5"/>
    <s v="CUST_ID_064"/>
    <s v="PROD_ID_006"/>
    <x v="62"/>
    <s v="Medium"/>
    <d v="2021-02-21T00:00:00"/>
    <x v="4"/>
    <x v="1"/>
    <x v="1"/>
    <n v="872"/>
    <s v="320.00"/>
    <s v="525.00"/>
    <n v="457.8"/>
    <n v="27.468"/>
    <n v="430.33199999999999"/>
    <s v="239.18"/>
    <n v="279.04000000000002"/>
    <n v="151.292"/>
  </r>
  <r>
    <x v="3"/>
    <x v="0"/>
    <x v="5"/>
    <s v="CUST_ID_065"/>
    <s v="PROD_ID_006"/>
    <x v="63"/>
    <s v="Medium"/>
    <d v="2020-09-08T00:00:00"/>
    <x v="0"/>
    <x v="0"/>
    <x v="0"/>
    <n v="1.6839999999999999"/>
    <s v="320.00"/>
    <s v="11.00"/>
    <n v="18.524000000000001"/>
    <n v="1.111"/>
    <n v="17.413"/>
    <d v="2023-09-01T00:00:00"/>
    <n v="538.88"/>
    <n v="-521.46699999999998"/>
  </r>
  <r>
    <x v="3"/>
    <x v="0"/>
    <x v="5"/>
    <s v="CUST_ID_065"/>
    <s v="PROD_ID_006"/>
    <x v="63"/>
    <s v="Medium"/>
    <d v="2021-08-21T00:00:00"/>
    <x v="2"/>
    <x v="0"/>
    <x v="1"/>
    <n v="2.4910000000000001"/>
    <s v="320.00"/>
    <s v="525.00"/>
    <s v="1,307,775"/>
    <n v="78.466999999999999"/>
    <s v="1,229,309"/>
    <s v="683.00"/>
    <n v="797.12"/>
    <n v="432.18900000000002"/>
  </r>
  <r>
    <x v="3"/>
    <x v="2"/>
    <x v="0"/>
    <s v="CUST_ID_059"/>
    <s v="PROD_ID_001"/>
    <x v="58"/>
    <s v="Medium"/>
    <d v="2021-05-18T00:00:00"/>
    <x v="10"/>
    <x v="2"/>
    <x v="1"/>
    <n v="2.1080000000000001"/>
    <s v="6.00"/>
    <s v="30.00"/>
    <n v="63.24"/>
    <n v="3.794"/>
    <n v="59.445999999999998"/>
    <s v="33.03"/>
    <n v="12.648"/>
    <n v="46.798000000000002"/>
  </r>
  <r>
    <x v="3"/>
    <x v="3"/>
    <x v="1"/>
    <s v="CUST_ID_052"/>
    <s v="PROD_ID_002"/>
    <x v="51"/>
    <s v="Medium"/>
    <d v="2021-08-29T00:00:00"/>
    <x v="2"/>
    <x v="0"/>
    <x v="1"/>
    <n v="2.1080000000000001"/>
    <s v="12.00"/>
    <s v="30.00"/>
    <n v="63.24"/>
    <n v="3.794"/>
    <n v="59.445999999999998"/>
    <s v="33.03"/>
    <n v="25.295999999999999"/>
    <n v="34.15"/>
  </r>
  <r>
    <x v="3"/>
    <x v="1"/>
    <x v="4"/>
    <s v="CUST_ID_066"/>
    <s v="PROD_ID_005"/>
    <x v="64"/>
    <s v="Medium"/>
    <d v="2021-04-23T00:00:00"/>
    <x v="5"/>
    <x v="2"/>
    <x v="1"/>
    <n v="2.2010000000000001"/>
    <s v="4.00"/>
    <s v="30.00"/>
    <n v="66.03"/>
    <n v="4.6219999999999999"/>
    <n v="61.408000000000001"/>
    <s v="34.11"/>
    <n v="8.8040000000000003"/>
    <n v="52.603999999999999"/>
  </r>
  <r>
    <x v="3"/>
    <x v="3"/>
    <x v="1"/>
    <s v="CUST_ID_052"/>
    <s v="PROD_ID_002"/>
    <x v="51"/>
    <s v="Medium"/>
    <d v="2021-02-06T00:00:00"/>
    <x v="4"/>
    <x v="1"/>
    <x v="1"/>
    <n v="1.2370000000000001"/>
    <s v="12.00"/>
    <s v="11.00"/>
    <n v="13.606999999999999"/>
    <n v="952"/>
    <n v="12.654999999999999"/>
    <d v="1971-06-01T00:00:00"/>
    <n v="14.843999999999999"/>
    <n v="-2.1890000000000001"/>
  </r>
  <r>
    <x v="4"/>
    <x v="2"/>
    <x v="3"/>
    <s v="CUST_ID_067"/>
    <s v="PROD_ID_004"/>
    <x v="65"/>
    <s v="Medium"/>
    <d v="2020-01-02T00:00:00"/>
    <x v="1"/>
    <x v="1"/>
    <x v="0"/>
    <n v="2.6579999999999999"/>
    <s v="308.00"/>
    <s v="18.00"/>
    <n v="47.844000000000001"/>
    <n v="3.3490000000000002"/>
    <n v="44.494999999999997"/>
    <s v="24.72"/>
    <n v="818.66399999999999"/>
    <n v="-774.16899999999998"/>
  </r>
  <r>
    <x v="0"/>
    <x v="3"/>
    <x v="0"/>
    <s v="CUST_ID_068"/>
    <s v="PROD_ID_001"/>
    <x v="66"/>
    <s v="Medium"/>
    <d v="2020-03-13T00:00:00"/>
    <x v="8"/>
    <x v="1"/>
    <x v="0"/>
    <n v="3"/>
    <s v="6.00"/>
    <s v="188.00"/>
    <n v="564"/>
    <n v="39.479999999999997"/>
    <n v="524.52"/>
    <s v="290.63"/>
    <n v="18"/>
    <n v="506.52"/>
  </r>
  <r>
    <x v="1"/>
    <x v="1"/>
    <x v="1"/>
    <s v="CUST_ID_026"/>
    <s v="PROD_ID_002"/>
    <x v="25"/>
    <s v="Medium"/>
    <d v="2020-09-12T00:00:00"/>
    <x v="0"/>
    <x v="0"/>
    <x v="0"/>
    <n v="3.5169999999999999"/>
    <s v="12.00"/>
    <s v="23.00"/>
    <n v="80.891000000000005"/>
    <n v="5.6619999999999999"/>
    <n v="75.228999999999999"/>
    <s v="40.89"/>
    <n v="42.204000000000001"/>
    <n v="33.024999999999999"/>
  </r>
  <r>
    <x v="2"/>
    <x v="4"/>
    <x v="1"/>
    <s v="CUST_ID_069"/>
    <s v="PROD_ID_002"/>
    <x v="56"/>
    <s v="Medium"/>
    <d v="2020-06-16T00:00:00"/>
    <x v="11"/>
    <x v="2"/>
    <x v="0"/>
    <n v="1.3480000000000001"/>
    <s v="12.00"/>
    <s v="450.00"/>
    <n v="606.6"/>
    <n v="42.462000000000003"/>
    <n v="564.13800000000003"/>
    <s v="313.32"/>
    <n v="16.175999999999998"/>
    <n v="547.96199999999999"/>
  </r>
  <r>
    <x v="2"/>
    <x v="5"/>
    <x v="1"/>
    <s v="CUST_ID_070"/>
    <s v="PROD_ID_002"/>
    <x v="67"/>
    <s v="Medium"/>
    <d v="2021-05-19T00:00:00"/>
    <x v="10"/>
    <x v="2"/>
    <x v="1"/>
    <n v="1.6850000000000001"/>
    <s v="12.00"/>
    <s v="450.00"/>
    <n v="758.25"/>
    <n v="53.078000000000003"/>
    <n v="705.173"/>
    <s v="391.72"/>
    <n v="20.22"/>
    <n v="684.95299999999997"/>
  </r>
  <r>
    <x v="4"/>
    <x v="6"/>
    <x v="1"/>
    <s v="CUST_ID_071"/>
    <s v="PROD_ID_002"/>
    <x v="68"/>
    <s v="Medium"/>
    <d v="2020-04-07T00:00:00"/>
    <x v="5"/>
    <x v="2"/>
    <x v="0"/>
    <n v="3.3159999999999998"/>
    <s v="12.00"/>
    <s v="18.00"/>
    <n v="59.688000000000002"/>
    <n v="4.1779999999999999"/>
    <n v="55.51"/>
    <s v="30.84"/>
    <n v="39.792000000000002"/>
    <n v="15.718"/>
  </r>
  <r>
    <x v="3"/>
    <x v="7"/>
    <x v="1"/>
    <s v="CUST_ID_072"/>
    <s v="PROD_ID_002"/>
    <x v="69"/>
    <s v="Medium"/>
    <d v="2021-06-14T00:00:00"/>
    <x v="11"/>
    <x v="2"/>
    <x v="1"/>
    <n v="2.5499999999999998"/>
    <s v="12.00"/>
    <s v="11.00"/>
    <n v="28.05"/>
    <n v="1.964"/>
    <n v="26.087"/>
    <s v="13.83"/>
    <n v="30.6"/>
    <n v="-4.5140000000000002"/>
  </r>
  <r>
    <x v="3"/>
    <x v="0"/>
    <x v="2"/>
    <s v="CUST_ID_041"/>
    <s v="PROD_ID_003"/>
    <x v="40"/>
    <s v="Medium"/>
    <d v="2021-02-11T00:00:00"/>
    <x v="4"/>
    <x v="1"/>
    <x v="1"/>
    <n v="1.7050000000000001"/>
    <s v="148.00"/>
    <s v="30.00"/>
    <n v="51.15"/>
    <n v="3.581"/>
    <n v="47.57"/>
    <s v="26.43"/>
    <n v="252.34"/>
    <n v="-204.77099999999999"/>
  </r>
  <r>
    <x v="3"/>
    <x v="3"/>
    <x v="2"/>
    <s v="CUST_ID_028"/>
    <s v="PROD_ID_003"/>
    <x v="27"/>
    <s v="Medium"/>
    <d v="2021-05-05T00:00:00"/>
    <x v="10"/>
    <x v="2"/>
    <x v="1"/>
    <n v="706"/>
    <s v="148.00"/>
    <s v="30.00"/>
    <n v="21.18"/>
    <n v="1.4830000000000001"/>
    <n v="19.696999999999999"/>
    <d v="1994-10-01T00:00:00"/>
    <n v="104.488"/>
    <n v="-84.790999999999997"/>
  </r>
  <r>
    <x v="0"/>
    <x v="0"/>
    <x v="5"/>
    <s v="CUST_ID_073"/>
    <s v="PROD_ID_006"/>
    <x v="70"/>
    <s v="Medium"/>
    <d v="2021-06-06T00:00:00"/>
    <x v="11"/>
    <x v="2"/>
    <x v="1"/>
    <n v="1.1930000000000001"/>
    <s v="320.00"/>
    <s v="188.00"/>
    <n v="224.28399999999999"/>
    <n v="15.7"/>
    <n v="208.584"/>
    <s v="115.55"/>
    <n v="381.76"/>
    <n v="-173.17599999999999"/>
  </r>
  <r>
    <x v="2"/>
    <x v="1"/>
    <x v="0"/>
    <s v="CUST_ID_074"/>
    <s v="PROD_ID_001"/>
    <x v="71"/>
    <s v="Medium"/>
    <d v="2020-08-13T00:00:00"/>
    <x v="2"/>
    <x v="0"/>
    <x v="0"/>
    <n v="1.54"/>
    <s v="6.00"/>
    <s v="450.00"/>
    <n v="693"/>
    <n v="55.44"/>
    <n v="637.55999999999995"/>
    <s v="354.11"/>
    <n v="9.24"/>
    <n v="628.32000000000005"/>
  </r>
  <r>
    <x v="3"/>
    <x v="7"/>
    <x v="1"/>
    <s v="CUST_ID_072"/>
    <s v="PROD_ID_002"/>
    <x v="69"/>
    <s v="Medium"/>
    <d v="2021-11-14T00:00:00"/>
    <x v="6"/>
    <x v="3"/>
    <x v="1"/>
    <n v="2.891"/>
    <s v="12.00"/>
    <s v="11.00"/>
    <n v="31.800999999999998"/>
    <n v="2.544"/>
    <n v="29.257000000000001"/>
    <s v="15.51"/>
    <n v="34.692"/>
    <n v="-5.4349999999999996"/>
  </r>
  <r>
    <x v="3"/>
    <x v="7"/>
    <x v="1"/>
    <s v="CUST_ID_072"/>
    <s v="PROD_ID_002"/>
    <x v="69"/>
    <s v="Medium"/>
    <d v="2020-10-21T00:00:00"/>
    <x v="9"/>
    <x v="3"/>
    <x v="0"/>
    <n v="2.5750000000000002"/>
    <s v="12.00"/>
    <s v="525.00"/>
    <s v="1,351,875"/>
    <n v="108.15"/>
    <s v="1,243,725"/>
    <s v="691.01"/>
    <n v="30.9"/>
    <s v="1,212,825"/>
  </r>
  <r>
    <x v="3"/>
    <x v="7"/>
    <x v="1"/>
    <s v="CUST_ID_040"/>
    <s v="PROD_ID_002"/>
    <x v="39"/>
    <s v="Medium"/>
    <d v="2020-02-16T00:00:00"/>
    <x v="4"/>
    <x v="1"/>
    <x v="0"/>
    <n v="2.335"/>
    <s v="12.00"/>
    <s v="11.00"/>
    <n v="25.684999999999999"/>
    <n v="2.0550000000000002"/>
    <n v="23.63"/>
    <d v="1953-12-01T00:00:00"/>
    <n v="28.02"/>
    <n v="-4.3899999999999997"/>
  </r>
  <r>
    <x v="2"/>
    <x v="4"/>
    <x v="2"/>
    <s v="CUST_ID_061"/>
    <s v="PROD_ID_003"/>
    <x v="59"/>
    <s v="Medium"/>
    <d v="2021-11-12T00:00:00"/>
    <x v="6"/>
    <x v="3"/>
    <x v="1"/>
    <n v="463"/>
    <s v="148.00"/>
    <s v="450.00"/>
    <n v="208.35"/>
    <n v="16.667999999999999"/>
    <n v="191.68199999999999"/>
    <s v="106.54"/>
    <n v="68.524000000000001"/>
    <n v="123.158"/>
  </r>
  <r>
    <x v="2"/>
    <x v="2"/>
    <x v="3"/>
    <s v="CUST_ID_075"/>
    <s v="PROD_ID_004"/>
    <x v="72"/>
    <s v="Medium"/>
    <d v="2021-06-30T00:00:00"/>
    <x v="11"/>
    <x v="2"/>
    <x v="1"/>
    <n v="970"/>
    <s v="308.00"/>
    <s v="450.00"/>
    <n v="436.5"/>
    <n v="34.92"/>
    <n v="401.58"/>
    <s v="223.01"/>
    <n v="298.76"/>
    <n v="102.82"/>
  </r>
  <r>
    <x v="4"/>
    <x v="3"/>
    <x v="5"/>
    <s v="CUST_ID_076"/>
    <s v="PROD_ID_006"/>
    <x v="73"/>
    <s v="Medium"/>
    <d v="2021-10-07T00:00:00"/>
    <x v="9"/>
    <x v="3"/>
    <x v="1"/>
    <n v="1.65"/>
    <s v="320.00"/>
    <s v="18.00"/>
    <n v="29.7"/>
    <n v="2.3759999999999999"/>
    <n v="27.324000000000002"/>
    <s v="15.18"/>
    <n v="528"/>
    <n v="-500.67599999999999"/>
  </r>
  <r>
    <x v="4"/>
    <x v="4"/>
    <x v="4"/>
    <s v="CUST_ID_077"/>
    <s v="PROD_ID_005"/>
    <x v="74"/>
    <s v="Medium"/>
    <d v="2021-02-17T00:00:00"/>
    <x v="4"/>
    <x v="1"/>
    <x v="1"/>
    <n v="440"/>
    <s v="4.00"/>
    <s v="18.00"/>
    <n v="7.92"/>
    <n v="713"/>
    <n v="7.2069999999999999"/>
    <d v="2025-01-04T00:00:00"/>
    <n v="1.76"/>
    <n v="5.4470000000000001"/>
  </r>
  <r>
    <x v="2"/>
    <x v="5"/>
    <x v="0"/>
    <s v="CUST_ID_078"/>
    <s v="PROD_ID_001"/>
    <x v="75"/>
    <s v="Medium"/>
    <d v="2020-06-14T00:00:00"/>
    <x v="11"/>
    <x v="2"/>
    <x v="0"/>
    <n v="386"/>
    <s v="6.00"/>
    <s v="450.00"/>
    <n v="173.7"/>
    <n v="15.632999999999999"/>
    <n v="158.06700000000001"/>
    <s v="87.91"/>
    <n v="2.3159999999999998"/>
    <n v="155.751"/>
  </r>
  <r>
    <x v="0"/>
    <x v="6"/>
    <x v="0"/>
    <s v="CUST_ID_079"/>
    <s v="PROD_ID_001"/>
    <x v="54"/>
    <s v="Medium"/>
    <d v="2021-04-29T00:00:00"/>
    <x v="5"/>
    <x v="2"/>
    <x v="1"/>
    <n v="2.2280000000000002"/>
    <s v="6.00"/>
    <s v="188.00"/>
    <n v="418.86399999999998"/>
    <n v="37.698"/>
    <n v="381.166"/>
    <s v="211.23"/>
    <n v="13.368"/>
    <n v="367.798"/>
  </r>
  <r>
    <x v="3"/>
    <x v="2"/>
    <x v="0"/>
    <s v="CUST_ID_043"/>
    <s v="PROD_ID_001"/>
    <x v="42"/>
    <s v="Medium"/>
    <d v="2021-11-30T00:00:00"/>
    <x v="6"/>
    <x v="3"/>
    <x v="1"/>
    <n v="1.9330000000000001"/>
    <s v="6.00"/>
    <s v="11.00"/>
    <n v="21.263000000000002"/>
    <n v="1.9139999999999999"/>
    <n v="19.349"/>
    <d v="2026-10-01T00:00:00"/>
    <n v="11.598000000000001"/>
    <n v="7.7510000000000003"/>
  </r>
  <r>
    <x v="2"/>
    <x v="7"/>
    <x v="0"/>
    <s v="CUST_ID_080"/>
    <s v="PROD_ID_001"/>
    <x v="66"/>
    <s v="Medium"/>
    <d v="2021-03-19T00:00:00"/>
    <x v="8"/>
    <x v="1"/>
    <x v="1"/>
    <n v="401"/>
    <s v="6.00"/>
    <s v="450.00"/>
    <n v="180.45"/>
    <n v="16.241"/>
    <n v="164.21"/>
    <s v="91.18"/>
    <n v="2.4060000000000001"/>
    <n v="161.804"/>
  </r>
  <r>
    <x v="4"/>
    <x v="6"/>
    <x v="1"/>
    <s v="CUST_ID_071"/>
    <s v="PROD_ID_002"/>
    <x v="68"/>
    <s v="Medium"/>
    <d v="2021-06-25T00:00:00"/>
    <x v="11"/>
    <x v="2"/>
    <x v="1"/>
    <n v="440"/>
    <s v="12.00"/>
    <s v="18.00"/>
    <n v="7.92"/>
    <n v="713"/>
    <n v="7.2069999999999999"/>
    <d v="2025-01-04T00:00:00"/>
    <n v="5.28"/>
    <n v="1.927"/>
  </r>
  <r>
    <x v="4"/>
    <x v="5"/>
    <x v="1"/>
    <s v="CUST_ID_014"/>
    <s v="PROD_ID_002"/>
    <x v="13"/>
    <s v="Medium"/>
    <d v="2021-03-09T00:00:00"/>
    <x v="8"/>
    <x v="1"/>
    <x v="1"/>
    <n v="2.13"/>
    <s v="12.00"/>
    <s v="18.00"/>
    <n v="38.340000000000003"/>
    <n v="3.4510000000000001"/>
    <n v="34.889000000000003"/>
    <s v="19.38"/>
    <n v="25.56"/>
    <n v="9.3290000000000006"/>
  </r>
  <r>
    <x v="4"/>
    <x v="0"/>
    <x v="3"/>
    <s v="CUST_ID_081"/>
    <s v="PROD_ID_004"/>
    <x v="76"/>
    <s v="Medium"/>
    <d v="2020-07-11T00:00:00"/>
    <x v="3"/>
    <x v="0"/>
    <x v="0"/>
    <n v="2.681"/>
    <s v="308.00"/>
    <s v="18.00"/>
    <n v="48.258000000000003"/>
    <n v="4.343"/>
    <n v="43.914999999999999"/>
    <s v="24.40"/>
    <n v="825.74800000000005"/>
    <n v="-781.83299999999997"/>
  </r>
  <r>
    <x v="1"/>
    <x v="1"/>
    <x v="5"/>
    <s v="CUST_ID_082"/>
    <s v="PROD_ID_006"/>
    <x v="77"/>
    <s v="Medium"/>
    <d v="2021-08-16T00:00:00"/>
    <x v="2"/>
    <x v="0"/>
    <x v="1"/>
    <n v="1.1639999999999999"/>
    <s v="320.00"/>
    <s v="23.00"/>
    <n v="26.771999999999998"/>
    <n v="2.4089999999999998"/>
    <n v="24.363"/>
    <s v="13.24"/>
    <n v="372.48"/>
    <n v="-348.11700000000002"/>
  </r>
  <r>
    <x v="3"/>
    <x v="7"/>
    <x v="3"/>
    <s v="CUST_ID_008"/>
    <s v="PROD_ID_004"/>
    <x v="7"/>
    <s v="Medium"/>
    <d v="2021-01-20T00:00:00"/>
    <x v="1"/>
    <x v="1"/>
    <x v="1"/>
    <n v="3.218"/>
    <s v="308.00"/>
    <s v="30.00"/>
    <n v="96.54"/>
    <n v="8.6890000000000001"/>
    <n v="87.850999999999999"/>
    <s v="48.81"/>
    <n v="991.14400000000001"/>
    <n v="-903.29300000000001"/>
  </r>
  <r>
    <x v="4"/>
    <x v="2"/>
    <x v="5"/>
    <s v="CUST_ID_083"/>
    <s v="PROD_ID_006"/>
    <x v="78"/>
    <s v="Medium"/>
    <d v="2020-11-12T00:00:00"/>
    <x v="6"/>
    <x v="3"/>
    <x v="0"/>
    <n v="367"/>
    <s v="320.00"/>
    <s v="18.00"/>
    <n v="6.6059999999999999"/>
    <n v="595"/>
    <n v="6.0110000000000001"/>
    <d v="1934-03-01T00:00:00"/>
    <n v="117.44"/>
    <n v="-111.429"/>
  </r>
  <r>
    <x v="4"/>
    <x v="3"/>
    <x v="4"/>
    <s v="CUST_ID_084"/>
    <s v="PROD_ID_005"/>
    <x v="79"/>
    <s v="High"/>
    <d v="2021-08-21T00:00:00"/>
    <x v="2"/>
    <x v="0"/>
    <x v="1"/>
    <n v="463"/>
    <s v="4.00"/>
    <s v="18.00"/>
    <n v="8.3339999999999996"/>
    <n v="833"/>
    <n v="7.5010000000000003"/>
    <d v="2017-04-01T00:00:00"/>
    <n v="1.8520000000000001"/>
    <n v="5.649"/>
  </r>
  <r>
    <x v="4"/>
    <x v="4"/>
    <x v="1"/>
    <s v="CUST_ID_005"/>
    <s v="PROD_ID_002"/>
    <x v="4"/>
    <s v="High"/>
    <d v="2021-01-13T00:00:00"/>
    <x v="1"/>
    <x v="1"/>
    <x v="1"/>
    <n v="463"/>
    <s v="12.00"/>
    <s v="18.00"/>
    <n v="8.3339999999999996"/>
    <n v="833"/>
    <n v="7.5010000000000003"/>
    <d v="2017-04-01T00:00:00"/>
    <n v="5.556"/>
    <n v="1.9450000000000001"/>
  </r>
  <r>
    <x v="0"/>
    <x v="4"/>
    <x v="4"/>
    <s v="CUST_ID_085"/>
    <s v="PROD_ID_005"/>
    <x v="80"/>
    <s v="High"/>
    <d v="2021-04-28T00:00:00"/>
    <x v="5"/>
    <x v="2"/>
    <x v="1"/>
    <n v="1.778"/>
    <s v="4.00"/>
    <s v="188.00"/>
    <n v="334.26400000000001"/>
    <n v="33.426000000000002"/>
    <n v="300.83800000000002"/>
    <s v="166.73"/>
    <n v="7.1120000000000001"/>
    <n v="293.726"/>
  </r>
  <r>
    <x v="0"/>
    <x v="4"/>
    <x v="0"/>
    <s v="CUST_ID_013"/>
    <s v="PROD_ID_001"/>
    <x v="12"/>
    <s v="High"/>
    <d v="2021-04-21T00:00:00"/>
    <x v="5"/>
    <x v="2"/>
    <x v="1"/>
    <n v="2.165"/>
    <s v="6.00"/>
    <s v="188.00"/>
    <n v="407.02"/>
    <n v="40.701999999999998"/>
    <n v="366.31799999999998"/>
    <s v="202.95"/>
    <n v="12.99"/>
    <n v="353.32799999999997"/>
  </r>
  <r>
    <x v="1"/>
    <x v="1"/>
    <x v="1"/>
    <s v="CUST_ID_002"/>
    <s v="PROD_ID_002"/>
    <x v="1"/>
    <s v="High"/>
    <d v="2020-09-25T00:00:00"/>
    <x v="0"/>
    <x v="0"/>
    <x v="0"/>
    <n v="2.6"/>
    <s v="12.00"/>
    <s v="23.00"/>
    <n v="59.8"/>
    <n v="5.98"/>
    <n v="53.82"/>
    <s v="29.25"/>
    <n v="31.2"/>
    <n v="22.62"/>
  </r>
  <r>
    <x v="2"/>
    <x v="5"/>
    <x v="2"/>
    <s v="CUST_ID_086"/>
    <s v="PROD_ID_003"/>
    <x v="49"/>
    <s v="High"/>
    <d v="2021-04-11T00:00:00"/>
    <x v="5"/>
    <x v="2"/>
    <x v="1"/>
    <n v="2.7530000000000001"/>
    <s v="148.00"/>
    <s v="450.00"/>
    <s v="1,238,850"/>
    <n v="123.88500000000001"/>
    <s v="1,114,965"/>
    <s v="619.38"/>
    <n v="407.44400000000002"/>
    <n v="707.52099999999996"/>
  </r>
  <r>
    <x v="0"/>
    <x v="6"/>
    <x v="2"/>
    <s v="CUST_ID_007"/>
    <s v="PROD_ID_003"/>
    <x v="6"/>
    <s v="High"/>
    <d v="2020-02-08T00:00:00"/>
    <x v="4"/>
    <x v="1"/>
    <x v="0"/>
    <n v="2.2989999999999999"/>
    <s v="148.00"/>
    <s v="188.00"/>
    <n v="432.21199999999999"/>
    <n v="43.220999999999997"/>
    <n v="388.99099999999999"/>
    <s v="215.55"/>
    <n v="340.25200000000001"/>
    <n v="48.738999999999997"/>
  </r>
  <r>
    <x v="2"/>
    <x v="2"/>
    <x v="3"/>
    <s v="CUST_ID_075"/>
    <s v="PROD_ID_004"/>
    <x v="72"/>
    <s v="High"/>
    <d v="2021-06-18T00:00:00"/>
    <x v="11"/>
    <x v="2"/>
    <x v="1"/>
    <n v="2.7530000000000001"/>
    <s v="308.00"/>
    <s v="450.00"/>
    <s v="1,238,850"/>
    <n v="123.88500000000001"/>
    <s v="1,114,965"/>
    <s v="619.38"/>
    <n v="847.92399999999998"/>
    <n v="267.041"/>
  </r>
  <r>
    <x v="1"/>
    <x v="6"/>
    <x v="3"/>
    <s v="CUST_ID_087"/>
    <s v="PROD_ID_004"/>
    <x v="50"/>
    <s v="High"/>
    <d v="2021-08-11T00:00:00"/>
    <x v="2"/>
    <x v="0"/>
    <x v="1"/>
    <n v="2.6"/>
    <s v="308.00"/>
    <s v="23.00"/>
    <n v="59.8"/>
    <n v="5.98"/>
    <n v="53.82"/>
    <s v="29.25"/>
    <n v="800.8"/>
    <n v="-746.98"/>
  </r>
  <r>
    <x v="3"/>
    <x v="7"/>
    <x v="3"/>
    <s v="CUST_ID_056"/>
    <s v="PROD_ID_004"/>
    <x v="55"/>
    <s v="High"/>
    <d v="2021-07-23T00:00:00"/>
    <x v="3"/>
    <x v="0"/>
    <x v="1"/>
    <n v="2.2440000000000002"/>
    <s v="308.00"/>
    <s v="525.00"/>
    <s v="1,178,100"/>
    <n v="117.81"/>
    <s v="1,060,290"/>
    <s v="589.05"/>
    <n v="691.15200000000004"/>
    <n v="369.13799999999998"/>
  </r>
  <r>
    <x v="4"/>
    <x v="7"/>
    <x v="4"/>
    <s v="CUST_ID_088"/>
    <s v="PROD_ID_005"/>
    <x v="81"/>
    <s v="High"/>
    <d v="2021-04-21T00:00:00"/>
    <x v="5"/>
    <x v="2"/>
    <x v="1"/>
    <n v="1.4379999999999999"/>
    <s v="4.00"/>
    <s v="18.00"/>
    <n v="25.884"/>
    <n v="2.847"/>
    <n v="23.036999999999999"/>
    <d v="1979-12-01T00:00:00"/>
    <n v="5.7519999999999998"/>
    <n v="17.285"/>
  </r>
  <r>
    <x v="4"/>
    <x v="0"/>
    <x v="1"/>
    <s v="CUST_ID_025"/>
    <s v="PROD_ID_002"/>
    <x v="24"/>
    <s v="High"/>
    <d v="2021-04-26T00:00:00"/>
    <x v="5"/>
    <x v="2"/>
    <x v="1"/>
    <n v="1.4379999999999999"/>
    <s v="12.00"/>
    <s v="18.00"/>
    <n v="25.884"/>
    <n v="2.847"/>
    <n v="23.036999999999999"/>
    <d v="1979-12-01T00:00:00"/>
    <n v="17.256"/>
    <n v="5.7809999999999997"/>
  </r>
  <r>
    <x v="4"/>
    <x v="0"/>
    <x v="3"/>
    <s v="CUST_ID_089"/>
    <s v="PROD_ID_004"/>
    <x v="82"/>
    <s v="High"/>
    <d v="2020-06-22T00:00:00"/>
    <x v="11"/>
    <x v="2"/>
    <x v="0"/>
    <n v="1.206"/>
    <s v="308.00"/>
    <s v="18.00"/>
    <n v="21.707999999999998"/>
    <n v="2.3879999999999999"/>
    <n v="19.32"/>
    <d v="1973-10-01T00:00:00"/>
    <n v="371.44799999999998"/>
    <n v="-352.12799999999999"/>
  </r>
  <r>
    <x v="1"/>
    <x v="1"/>
    <x v="4"/>
    <s v="CUST_ID_090"/>
    <s v="PROD_ID_005"/>
    <x v="83"/>
    <s v="High"/>
    <d v="2020-01-23T00:00:00"/>
    <x v="1"/>
    <x v="1"/>
    <x v="0"/>
    <n v="1.8720000000000001"/>
    <s v="4.00"/>
    <s v="23.00"/>
    <n v="43.055999999999997"/>
    <n v="4.7359999999999998"/>
    <n v="38.32"/>
    <s v="20.83"/>
    <n v="7.4880000000000004"/>
    <n v="30.832000000000001"/>
  </r>
  <r>
    <x v="3"/>
    <x v="1"/>
    <x v="4"/>
    <s v="CUST_ID_066"/>
    <s v="PROD_ID_005"/>
    <x v="64"/>
    <s v="High"/>
    <d v="2021-03-25T00:00:00"/>
    <x v="8"/>
    <x v="1"/>
    <x v="1"/>
    <n v="3.2469999999999999"/>
    <s v="4.00"/>
    <s v="11.00"/>
    <n v="35.716999999999999"/>
    <n v="3.9289999999999998"/>
    <n v="31.788"/>
    <s v="16.86"/>
    <n v="12.988"/>
    <n v="18.8"/>
  </r>
  <r>
    <x v="3"/>
    <x v="4"/>
    <x v="0"/>
    <s v="CUST_ID_037"/>
    <s v="PROD_ID_001"/>
    <x v="36"/>
    <s v="High"/>
    <d v="2021-12-30T00:00:00"/>
    <x v="7"/>
    <x v="3"/>
    <x v="1"/>
    <n v="3.59"/>
    <s v="6.00"/>
    <s v="30.00"/>
    <n v="107.7"/>
    <n v="11.847"/>
    <n v="95.852999999999994"/>
    <s v="53.26"/>
    <n v="21.54"/>
    <n v="74.313000000000002"/>
  </r>
  <r>
    <x v="3"/>
    <x v="7"/>
    <x v="1"/>
    <s v="CUST_ID_072"/>
    <s v="PROD_ID_002"/>
    <x v="69"/>
    <s v="High"/>
    <d v="2021-04-15T00:00:00"/>
    <x v="5"/>
    <x v="2"/>
    <x v="1"/>
    <n v="3.59"/>
    <s v="12.00"/>
    <s v="30.00"/>
    <n v="107.7"/>
    <n v="11.847"/>
    <n v="95.852999999999994"/>
    <s v="53.26"/>
    <n v="43.08"/>
    <n v="52.773000000000003"/>
  </r>
  <r>
    <x v="3"/>
    <x v="5"/>
    <x v="2"/>
    <s v="CUST_ID_054"/>
    <s v="PROD_ID_003"/>
    <x v="53"/>
    <s v="High"/>
    <d v="2020-10-09T00:00:00"/>
    <x v="9"/>
    <x v="3"/>
    <x v="0"/>
    <n v="3.3660000000000001"/>
    <s v="148.00"/>
    <s v="30.00"/>
    <n v="100.98"/>
    <n v="11.108000000000001"/>
    <n v="89.872"/>
    <s v="49.93"/>
    <n v="498.16800000000001"/>
    <n v="-408.29599999999999"/>
  </r>
  <r>
    <x v="1"/>
    <x v="2"/>
    <x v="2"/>
    <s v="CUST_ID_091"/>
    <s v="PROD_ID_003"/>
    <x v="84"/>
    <s v="High"/>
    <d v="2020-10-31T00:00:00"/>
    <x v="9"/>
    <x v="3"/>
    <x v="0"/>
    <n v="786"/>
    <s v="148.00"/>
    <s v="23.00"/>
    <n v="18.077999999999999"/>
    <n v="1.9890000000000001"/>
    <n v="16.088999999999999"/>
    <d v="1974-08-01T00:00:00"/>
    <n v="116.328"/>
    <n v="-100.239"/>
  </r>
  <r>
    <x v="3"/>
    <x v="6"/>
    <x v="2"/>
    <s v="CUST_ID_031"/>
    <s v="PROD_ID_003"/>
    <x v="30"/>
    <s v="High"/>
    <d v="2021-04-03T00:00:00"/>
    <x v="5"/>
    <x v="2"/>
    <x v="1"/>
    <n v="413"/>
    <s v="148.00"/>
    <s v="525.00"/>
    <n v="216.82499999999999"/>
    <n v="23.850999999999999"/>
    <n v="192.97399999999999"/>
    <s v="107.16"/>
    <n v="61.124000000000002"/>
    <n v="131.85"/>
  </r>
  <r>
    <x v="3"/>
    <x v="6"/>
    <x v="3"/>
    <s v="CUST_ID_055"/>
    <s v="PROD_ID_004"/>
    <x v="54"/>
    <s v="High"/>
    <d v="2021-03-09T00:00:00"/>
    <x v="8"/>
    <x v="1"/>
    <x v="1"/>
    <n v="3.5219999999999998"/>
    <s v="308.00"/>
    <s v="30.00"/>
    <n v="105.66"/>
    <n v="11.622999999999999"/>
    <n v="94.037000000000006"/>
    <s v="52.24"/>
    <s v="1,084,776"/>
    <n v="-990.73900000000003"/>
  </r>
  <r>
    <x v="0"/>
    <x v="3"/>
    <x v="5"/>
    <s v="CUST_ID_092"/>
    <s v="PROD_ID_006"/>
    <x v="85"/>
    <s v="High"/>
    <d v="2020-10-24T00:00:00"/>
    <x v="9"/>
    <x v="3"/>
    <x v="0"/>
    <n v="1.1359999999999999"/>
    <s v="320.00"/>
    <s v="188.00"/>
    <n v="213.56800000000001"/>
    <n v="23.492000000000001"/>
    <n v="190.07599999999999"/>
    <s v="105.35"/>
    <n v="363.52"/>
    <n v="-173.44399999999999"/>
  </r>
  <r>
    <x v="3"/>
    <x v="4"/>
    <x v="5"/>
    <s v="CUST_ID_093"/>
    <s v="PROD_ID_006"/>
    <x v="56"/>
    <s v="High"/>
    <d v="2021-10-03T00:00:00"/>
    <x v="9"/>
    <x v="3"/>
    <x v="1"/>
    <n v="413"/>
    <s v="320.00"/>
    <s v="525.00"/>
    <n v="216.82499999999999"/>
    <n v="23.850999999999999"/>
    <n v="192.97399999999999"/>
    <s v="107.16"/>
    <n v="132.16"/>
    <n v="60.814"/>
  </r>
  <r>
    <x v="3"/>
    <x v="2"/>
    <x v="1"/>
    <s v="CUST_ID_027"/>
    <s v="PROD_ID_002"/>
    <x v="26"/>
    <s v="High"/>
    <d v="2021-04-30T00:00:00"/>
    <x v="5"/>
    <x v="2"/>
    <x v="1"/>
    <n v="456"/>
    <s v="12.00"/>
    <s v="11.00"/>
    <n v="5.016"/>
    <n v="552"/>
    <n v="4.4640000000000004"/>
    <d v="1937-02-01T00:00:00"/>
    <n v="5.4720000000000004"/>
    <n v="-1.008"/>
  </r>
  <r>
    <x v="0"/>
    <x v="5"/>
    <x v="4"/>
    <s v="CUST_ID_094"/>
    <s v="PROD_ID_005"/>
    <x v="86"/>
    <s v="High"/>
    <d v="2020-11-11T00:00:00"/>
    <x v="6"/>
    <x v="3"/>
    <x v="0"/>
    <n v="2.899"/>
    <s v="4.00"/>
    <s v="188.00"/>
    <n v="545.01199999999994"/>
    <n v="65.400999999999996"/>
    <n v="479.61099999999999"/>
    <s v="265.76"/>
    <n v="11.596"/>
    <n v="468.01499999999999"/>
  </r>
  <r>
    <x v="3"/>
    <x v="0"/>
    <x v="0"/>
    <s v="CUST_ID_049"/>
    <s v="PROD_ID_001"/>
    <x v="48"/>
    <s v="High"/>
    <d v="2021-12-12T00:00:00"/>
    <x v="7"/>
    <x v="3"/>
    <x v="1"/>
    <n v="2.0579999999999998"/>
    <s v="6.00"/>
    <s v="30.00"/>
    <n v="61.74"/>
    <n v="7.4089999999999998"/>
    <n v="54.331000000000003"/>
    <s v="30.18"/>
    <n v="12.348000000000001"/>
    <n v="41.982999999999997"/>
  </r>
  <r>
    <x v="2"/>
    <x v="5"/>
    <x v="0"/>
    <s v="CUST_ID_078"/>
    <s v="PROD_ID_001"/>
    <x v="75"/>
    <s v="High"/>
    <d v="2021-07-17T00:00:00"/>
    <x v="3"/>
    <x v="0"/>
    <x v="1"/>
    <n v="1.423"/>
    <s v="6.00"/>
    <s v="450.00"/>
    <n v="640.35"/>
    <n v="76.841999999999999"/>
    <n v="563.50800000000004"/>
    <s v="313.10"/>
    <n v="8.5380000000000003"/>
    <n v="554.97"/>
  </r>
  <r>
    <x v="3"/>
    <x v="7"/>
    <x v="1"/>
    <s v="CUST_ID_040"/>
    <s v="PROD_ID_002"/>
    <x v="39"/>
    <s v="High"/>
    <d v="2021-10-19T00:00:00"/>
    <x v="9"/>
    <x v="3"/>
    <x v="1"/>
    <n v="2.0579999999999998"/>
    <s v="12.00"/>
    <s v="30.00"/>
    <n v="61.74"/>
    <n v="7.4089999999999998"/>
    <n v="54.331000000000003"/>
    <s v="30.18"/>
    <n v="24.696000000000002"/>
    <n v="29.635000000000002"/>
  </r>
  <r>
    <x v="1"/>
    <x v="3"/>
    <x v="1"/>
    <s v="CUST_ID_044"/>
    <s v="PROD_ID_002"/>
    <x v="43"/>
    <s v="High"/>
    <d v="2021-05-17T00:00:00"/>
    <x v="10"/>
    <x v="2"/>
    <x v="1"/>
    <n v="456"/>
    <s v="12.00"/>
    <s v="23.00"/>
    <n v="10.488"/>
    <n v="1.2589999999999999"/>
    <n v="9.2289999999999992"/>
    <d v="2025-02-05T00:00:00"/>
    <n v="5.4720000000000004"/>
    <n v="3.7570000000000001"/>
  </r>
  <r>
    <x v="3"/>
    <x v="6"/>
    <x v="3"/>
    <s v="CUST_ID_055"/>
    <s v="PROD_ID_004"/>
    <x v="54"/>
    <s v="High"/>
    <d v="2020-02-28T00:00:00"/>
    <x v="4"/>
    <x v="1"/>
    <x v="0"/>
    <n v="748"/>
    <s v="308.00"/>
    <s v="525.00"/>
    <n v="392.7"/>
    <n v="47.124000000000002"/>
    <n v="345.57600000000002"/>
    <s v="191.88"/>
    <n v="230.38399999999999"/>
    <n v="115.19199999999999"/>
  </r>
  <r>
    <x v="1"/>
    <x v="5"/>
    <x v="5"/>
    <s v="CUST_ID_046"/>
    <s v="PROD_ID_006"/>
    <x v="45"/>
    <s v="High"/>
    <d v="2020-12-16T00:00:00"/>
    <x v="7"/>
    <x v="3"/>
    <x v="0"/>
    <n v="3.0579999999999998"/>
    <s v="320.00"/>
    <s v="23.00"/>
    <n v="70.334000000000003"/>
    <n v="8.44"/>
    <n v="61.893999999999998"/>
    <s v="33.63"/>
    <n v="978.56"/>
    <n v="-916.66600000000005"/>
  </r>
  <r>
    <x v="4"/>
    <x v="6"/>
    <x v="5"/>
    <s v="CUST_ID_095"/>
    <s v="PROD_ID_006"/>
    <x v="87"/>
    <s v="High"/>
    <d v="2020-01-07T00:00:00"/>
    <x v="1"/>
    <x v="1"/>
    <x v="0"/>
    <n v="3.3130000000000002"/>
    <s v="320.00"/>
    <s v="18.00"/>
    <n v="59.634"/>
    <n v="7.1559999999999997"/>
    <n v="52.478000000000002"/>
    <s v="29.16"/>
    <s v="1,060,160"/>
    <s v="-1,007,682"/>
  </r>
  <r>
    <x v="3"/>
    <x v="7"/>
    <x v="4"/>
    <s v="CUST_ID_048"/>
    <s v="PROD_ID_005"/>
    <x v="47"/>
    <s v="High"/>
    <d v="2020-03-22T00:00:00"/>
    <x v="8"/>
    <x v="1"/>
    <x v="0"/>
    <n v="530"/>
    <s v="4.00"/>
    <s v="30.00"/>
    <n v="15.9"/>
    <n v="2.0670000000000002"/>
    <n v="13.833"/>
    <d v="1969-07-01T00:00:00"/>
    <n v="2.12"/>
    <n v="11.712999999999999"/>
  </r>
  <r>
    <x v="1"/>
    <x v="7"/>
    <x v="2"/>
    <s v="CUST_ID_096"/>
    <s v="PROD_ID_003"/>
    <x v="88"/>
    <s v="High"/>
    <d v="2021-07-04T00:00:00"/>
    <x v="3"/>
    <x v="0"/>
    <x v="1"/>
    <n v="792"/>
    <s v="148.00"/>
    <s v="23.00"/>
    <n v="18.216000000000001"/>
    <n v="2.3679999999999999"/>
    <n v="15.848000000000001"/>
    <d v="1961-08-01T00:00:00"/>
    <n v="117.21599999999999"/>
    <n v="-101.36799999999999"/>
  </r>
  <r>
    <x v="2"/>
    <x v="0"/>
    <x v="2"/>
    <s v="CUST_ID_097"/>
    <s v="PROD_ID_003"/>
    <x v="89"/>
    <s v="High"/>
    <d v="2021-08-21T00:00:00"/>
    <x v="2"/>
    <x v="0"/>
    <x v="1"/>
    <n v="3.1259999999999999"/>
    <s v="148.00"/>
    <s v="450.00"/>
    <s v="1,406,700"/>
    <n v="182.87100000000001"/>
    <s v="1,223,829"/>
    <s v="679.91"/>
    <n v="462.64800000000002"/>
    <n v="761.18100000000004"/>
  </r>
  <r>
    <x v="4"/>
    <x v="1"/>
    <x v="5"/>
    <s v="CUST_ID_098"/>
    <s v="PROD_ID_006"/>
    <x v="71"/>
    <s v="High"/>
    <d v="2020-01-21T00:00:00"/>
    <x v="1"/>
    <x v="1"/>
    <x v="0"/>
    <n v="2.1240000000000001"/>
    <s v="320.00"/>
    <s v="18.00"/>
    <n v="38.231999999999999"/>
    <n v="4.97"/>
    <n v="33.262"/>
    <s v="18.48"/>
    <n v="679.68"/>
    <n v="-646.41800000000001"/>
  </r>
  <r>
    <x v="3"/>
    <x v="0"/>
    <x v="4"/>
    <s v="CUST_ID_057"/>
    <s v="PROD_ID_005"/>
    <x v="56"/>
    <s v="High"/>
    <d v="2020-06-04T00:00:00"/>
    <x v="11"/>
    <x v="2"/>
    <x v="0"/>
    <n v="3.5950000000000002"/>
    <s v="4.00"/>
    <s v="11.00"/>
    <n v="39.545000000000002"/>
    <n v="5.5359999999999996"/>
    <n v="34.009"/>
    <d v="2025-04-18T00:00:00"/>
    <n v="14.38"/>
    <n v="19.629000000000001"/>
  </r>
  <r>
    <x v="3"/>
    <x v="2"/>
    <x v="0"/>
    <s v="CUST_ID_099"/>
    <s v="PROD_ID_001"/>
    <x v="72"/>
    <s v="High"/>
    <d v="2021-03-06T00:00:00"/>
    <x v="8"/>
    <x v="1"/>
    <x v="1"/>
    <n v="3.5950000000000002"/>
    <s v="6.00"/>
    <s v="11.00"/>
    <n v="39.545000000000002"/>
    <n v="5.5359999999999996"/>
    <n v="34.009"/>
    <d v="2025-04-18T00:00:00"/>
    <n v="21.57"/>
    <n v="12.439"/>
  </r>
  <r>
    <x v="4"/>
    <x v="1"/>
    <x v="5"/>
    <s v="CUST_ID_018"/>
    <s v="PROD_ID_006"/>
    <x v="17"/>
    <s v="High"/>
    <d v="2021-08-07T00:00:00"/>
    <x v="2"/>
    <x v="0"/>
    <x v="1"/>
    <n v="2.4180000000000001"/>
    <s v="320.00"/>
    <s v="18.00"/>
    <n v="43.524000000000001"/>
    <n v="6.093"/>
    <n v="37.430999999999997"/>
    <s v="20.79"/>
    <n v="773.76"/>
    <n v="-736.32899999999995"/>
  </r>
  <r>
    <x v="0"/>
    <x v="4"/>
    <x v="4"/>
    <s v="CUST_ID_085"/>
    <s v="PROD_ID_005"/>
    <x v="80"/>
    <s v="High"/>
    <d v="2020-03-28T00:00:00"/>
    <x v="8"/>
    <x v="1"/>
    <x v="0"/>
    <n v="1.228"/>
    <s v="4.00"/>
    <s v="188.00"/>
    <n v="230.864"/>
    <n v="32.320999999999998"/>
    <n v="198.54300000000001"/>
    <s v="109.97"/>
    <n v="4.9119999999999999"/>
    <n v="193.631"/>
  </r>
  <r>
    <x v="0"/>
    <x v="3"/>
    <x v="4"/>
    <s v="CUST_ID_100"/>
    <s v="PROD_ID_005"/>
    <x v="73"/>
    <s v="High"/>
    <d v="2021-07-08T00:00:00"/>
    <x v="3"/>
    <x v="0"/>
    <x v="1"/>
    <n v="3.3849999999999998"/>
    <s v="4.00"/>
    <s v="188.00"/>
    <n v="636.38"/>
    <n v="89.093000000000004"/>
    <n v="547.28700000000003"/>
    <s v="303.26"/>
    <n v="13.54"/>
    <n v="533.74699999999996"/>
  </r>
  <r>
    <x v="3"/>
    <x v="0"/>
    <x v="0"/>
    <s v="CUST_ID_049"/>
    <s v="PROD_ID_001"/>
    <x v="48"/>
    <s v="High"/>
    <d v="2020-11-16T00:00:00"/>
    <x v="6"/>
    <x v="3"/>
    <x v="0"/>
    <n v="2.0720000000000001"/>
    <s v="6.00"/>
    <s v="11.00"/>
    <n v="22.792000000000002"/>
    <n v="3.1909999999999998"/>
    <n v="19.600999999999999"/>
    <d v="1940-10-01T00:00:00"/>
    <n v="12.432"/>
    <n v="7.1689999999999996"/>
  </r>
  <r>
    <x v="1"/>
    <x v="5"/>
    <x v="1"/>
    <s v="CUST_ID_006"/>
    <s v="PROD_ID_002"/>
    <x v="5"/>
    <s v="High"/>
    <d v="2020-04-01T00:00:00"/>
    <x v="5"/>
    <x v="2"/>
    <x v="0"/>
    <n v="2.964"/>
    <s v="12.00"/>
    <s v="23.00"/>
    <n v="68.171999999999997"/>
    <n v="9.5440000000000005"/>
    <n v="58.628"/>
    <s v="31.86"/>
    <n v="35.567999999999998"/>
    <n v="23.06"/>
  </r>
  <r>
    <x v="1"/>
    <x v="5"/>
    <x v="1"/>
    <s v="CUST_ID_006"/>
    <s v="PROD_ID_002"/>
    <x v="5"/>
    <s v="High"/>
    <d v="2021-04-22T00:00:00"/>
    <x v="5"/>
    <x v="2"/>
    <x v="1"/>
    <n v="2.0920000000000001"/>
    <s v="12.00"/>
    <s v="23.00"/>
    <n v="48.116"/>
    <n v="6.7359999999999998"/>
    <n v="41.38"/>
    <s v="22.48"/>
    <n v="25.103999999999999"/>
    <n v="16.276"/>
  </r>
  <r>
    <x v="4"/>
    <x v="3"/>
    <x v="1"/>
    <s v="CUST_ID_060"/>
    <s v="PROD_ID_002"/>
    <x v="41"/>
    <s v="High"/>
    <d v="2020-05-01T00:00:00"/>
    <x v="10"/>
    <x v="2"/>
    <x v="0"/>
    <n v="2.6659999999999999"/>
    <s v="12.00"/>
    <s v="18.00"/>
    <n v="47.988"/>
    <n v="6.718"/>
    <n v="41.27"/>
    <s v="22.93"/>
    <n v="31.992000000000001"/>
    <n v="9.2780000000000005"/>
  </r>
  <r>
    <x v="3"/>
    <x v="3"/>
    <x v="1"/>
    <s v="CUST_ID_052"/>
    <s v="PROD_ID_002"/>
    <x v="51"/>
    <s v="High"/>
    <d v="2021-06-19T00:00:00"/>
    <x v="11"/>
    <x v="2"/>
    <x v="1"/>
    <n v="2.306"/>
    <s v="12.00"/>
    <s v="525.00"/>
    <s v="1,210,650"/>
    <n v="169.49100000000001"/>
    <s v="1,041,159"/>
    <s v="578.52"/>
    <n v="27.672000000000001"/>
    <s v="1,013,487"/>
  </r>
  <r>
    <x v="2"/>
    <x v="4"/>
    <x v="2"/>
    <s v="CUST_ID_101"/>
    <s v="PROD_ID_003"/>
    <x v="52"/>
    <s v="High"/>
    <d v="2021-01-08T00:00:00"/>
    <x v="1"/>
    <x v="1"/>
    <x v="1"/>
    <n v="323"/>
    <s v="148.00"/>
    <s v="450.00"/>
    <n v="145.35"/>
    <n v="20.349"/>
    <n v="125.001"/>
    <s v="69.40"/>
    <n v="47.804000000000002"/>
    <n v="77.197000000000003"/>
  </r>
  <r>
    <x v="2"/>
    <x v="5"/>
    <x v="2"/>
    <s v="CUST_ID_102"/>
    <s v="PROD_ID_003"/>
    <x v="90"/>
    <s v="High"/>
    <d v="2021-09-03T00:00:00"/>
    <x v="0"/>
    <x v="0"/>
    <x v="1"/>
    <n v="3.0430000000000001"/>
    <s v="148.00"/>
    <s v="450.00"/>
    <s v="1,369,350"/>
    <n v="191.709"/>
    <s v="1,177,641"/>
    <s v="654.29"/>
    <n v="450.36399999999998"/>
    <n v="727.27700000000004"/>
  </r>
  <r>
    <x v="2"/>
    <x v="6"/>
    <x v="3"/>
    <s v="CUST_ID_063"/>
    <s v="PROD_ID_004"/>
    <x v="61"/>
    <s v="High"/>
    <d v="2021-10-19T00:00:00"/>
    <x v="9"/>
    <x v="3"/>
    <x v="1"/>
    <n v="323"/>
    <s v="308.00"/>
    <s v="450.00"/>
    <n v="145.35"/>
    <n v="20.349"/>
    <n v="125.001"/>
    <s v="69.40"/>
    <n v="99.483999999999995"/>
    <n v="25.516999999999999"/>
  </r>
  <r>
    <x v="3"/>
    <x v="7"/>
    <x v="3"/>
    <s v="CUST_ID_008"/>
    <s v="PROD_ID_004"/>
    <x v="7"/>
    <s v="High"/>
    <d v="2021-01-19T00:00:00"/>
    <x v="1"/>
    <x v="1"/>
    <x v="1"/>
    <n v="1.5369999999999999"/>
    <s v="308.00"/>
    <s v="525.00"/>
    <n v="806.92499999999995"/>
    <n v="112.97"/>
    <n v="693.95600000000002"/>
    <s v="385.58"/>
    <n v="473.39600000000002"/>
    <n v="220.56"/>
  </r>
  <r>
    <x v="1"/>
    <x v="6"/>
    <x v="5"/>
    <s v="CUST_ID_103"/>
    <s v="PROD_ID_006"/>
    <x v="91"/>
    <s v="High"/>
    <d v="2020-10-07T00:00:00"/>
    <x v="9"/>
    <x v="3"/>
    <x v="0"/>
    <n v="2.0920000000000001"/>
    <s v="320.00"/>
    <s v="23.00"/>
    <n v="48.116"/>
    <n v="6.7359999999999998"/>
    <n v="41.38"/>
    <s v="22.48"/>
    <n v="669.44"/>
    <n v="-628.05999999999995"/>
  </r>
  <r>
    <x v="3"/>
    <x v="4"/>
    <x v="5"/>
    <s v="CUST_ID_093"/>
    <s v="PROD_ID_006"/>
    <x v="56"/>
    <s v="High"/>
    <d v="2021-11-30T00:00:00"/>
    <x v="6"/>
    <x v="3"/>
    <x v="1"/>
    <n v="2.0720000000000001"/>
    <s v="320.00"/>
    <s v="11.00"/>
    <n v="22.792000000000002"/>
    <n v="3.1909999999999998"/>
    <n v="19.600999999999999"/>
    <d v="1940-10-01T00:00:00"/>
    <n v="663.04"/>
    <n v="-643.43899999999996"/>
  </r>
  <r>
    <x v="1"/>
    <x v="7"/>
    <x v="5"/>
    <s v="CUST_ID_104"/>
    <s v="PROD_ID_006"/>
    <x v="92"/>
    <s v="High"/>
    <d v="2020-11-21T00:00:00"/>
    <x v="6"/>
    <x v="3"/>
    <x v="0"/>
    <n v="2.2440000000000002"/>
    <s v="320.00"/>
    <s v="23.00"/>
    <n v="51.612000000000002"/>
    <n v="7.226"/>
    <n v="44.386000000000003"/>
    <d v="2025-12-24T00:00:00"/>
    <n v="718.08"/>
    <n v="-673.69399999999996"/>
  </r>
  <r>
    <x v="3"/>
    <x v="2"/>
    <x v="1"/>
    <s v="CUST_ID_027"/>
    <s v="PROD_ID_002"/>
    <x v="26"/>
    <s v="High"/>
    <d v="2020-03-21T00:00:00"/>
    <x v="8"/>
    <x v="1"/>
    <x v="0"/>
    <n v="320"/>
    <s v="12.00"/>
    <s v="30.00"/>
    <n v="9.6"/>
    <n v="1.44"/>
    <n v="8.16"/>
    <d v="1954-04-01T00:00:00"/>
    <n v="3.84"/>
    <n v="4.32"/>
  </r>
  <r>
    <x v="3"/>
    <x v="2"/>
    <x v="1"/>
    <s v="CUST_ID_027"/>
    <s v="PROD_ID_002"/>
    <x v="26"/>
    <s v="High"/>
    <d v="2021-09-02T00:00:00"/>
    <x v="0"/>
    <x v="0"/>
    <x v="1"/>
    <n v="2.4079999999999999"/>
    <s v="12.00"/>
    <s v="525.00"/>
    <s v="1,264,200"/>
    <n v="189.63"/>
    <s v="1,074,570"/>
    <s v="597.08"/>
    <n v="28.896000000000001"/>
    <s v="1,045,674"/>
  </r>
  <r>
    <x v="3"/>
    <x v="7"/>
    <x v="1"/>
    <s v="CUST_ID_040"/>
    <s v="PROD_ID_002"/>
    <x v="39"/>
    <s v="High"/>
    <d v="2020-02-01T00:00:00"/>
    <x v="4"/>
    <x v="1"/>
    <x v="0"/>
    <n v="2.581"/>
    <s v="12.00"/>
    <s v="525.00"/>
    <s v="1,355,025"/>
    <n v="203.25399999999999"/>
    <s v="1,151,771"/>
    <s v="639.92"/>
    <n v="30.972000000000001"/>
    <s v="1,120,799"/>
  </r>
  <r>
    <x v="2"/>
    <x v="5"/>
    <x v="2"/>
    <s v="CUST_ID_086"/>
    <s v="PROD_ID_003"/>
    <x v="49"/>
    <s v="High"/>
    <d v="2021-06-13T00:00:00"/>
    <x v="11"/>
    <x v="2"/>
    <x v="1"/>
    <n v="3.089"/>
    <s v="148.00"/>
    <s v="450.00"/>
    <s v="1,390,050"/>
    <n v="208.50800000000001"/>
    <s v="1,181,543"/>
    <s v="656.37"/>
    <n v="457.17200000000003"/>
    <n v="724.37099999999998"/>
  </r>
  <r>
    <x v="0"/>
    <x v="6"/>
    <x v="2"/>
    <s v="CUST_ID_015"/>
    <s v="PROD_ID_003"/>
    <x v="14"/>
    <s v="High"/>
    <d v="2020-03-02T00:00:00"/>
    <x v="8"/>
    <x v="1"/>
    <x v="0"/>
    <n v="2.9260000000000002"/>
    <s v="148.00"/>
    <s v="188.00"/>
    <n v="550.08799999999997"/>
    <n v="82.513000000000005"/>
    <n v="467.57499999999999"/>
    <s v="259.04"/>
    <n v="433.048"/>
    <n v="34.527000000000001"/>
  </r>
  <r>
    <x v="3"/>
    <x v="0"/>
    <x v="3"/>
    <s v="CUST_ID_033"/>
    <s v="PROD_ID_004"/>
    <x v="32"/>
    <s v="High"/>
    <d v="2020-10-27T00:00:00"/>
    <x v="9"/>
    <x v="3"/>
    <x v="0"/>
    <n v="320"/>
    <s v="308.00"/>
    <s v="30.00"/>
    <n v="9.6"/>
    <n v="1.44"/>
    <n v="8.16"/>
    <d v="1954-04-01T00:00:00"/>
    <n v="98.56"/>
    <n v="-90.4"/>
  </r>
  <r>
    <x v="0"/>
    <x v="0"/>
    <x v="3"/>
    <s v="CUST_ID_105"/>
    <s v="PROD_ID_004"/>
    <x v="38"/>
    <s v="High"/>
    <d v="2020-02-22T00:00:00"/>
    <x v="4"/>
    <x v="1"/>
    <x v="0"/>
    <n v="3.5449999999999999"/>
    <s v="308.00"/>
    <s v="188.00"/>
    <n v="666.46"/>
    <n v="99.968999999999994"/>
    <n v="566.49099999999999"/>
    <s v="313.86"/>
    <s v="1,091,860"/>
    <n v="-525.36900000000003"/>
  </r>
  <r>
    <x v="3"/>
    <x v="1"/>
    <x v="4"/>
    <s v="CUST_ID_042"/>
    <s v="PROD_ID_005"/>
    <x v="41"/>
    <s v="None"/>
    <d v="2020-03-02T00:00:00"/>
    <x v="8"/>
    <x v="1"/>
    <x v="0"/>
    <n v="1.9419999999999999"/>
    <s v="4.00"/>
    <s v="30.00"/>
    <n v="58.26"/>
    <s v="-"/>
    <n v="58.26"/>
    <s v="32.37"/>
    <n v="7.7679999999999998"/>
    <n v="50.491999999999997"/>
  </r>
  <r>
    <x v="3"/>
    <x v="7"/>
    <x v="4"/>
    <s v="CUST_ID_048"/>
    <s v="PROD_ID_005"/>
    <x v="47"/>
    <s v="None"/>
    <d v="2020-03-08T00:00:00"/>
    <x v="8"/>
    <x v="1"/>
    <x v="0"/>
    <n v="1.585"/>
    <s v="4.00"/>
    <s v="30.00"/>
    <n v="47.55"/>
    <s v="-"/>
    <n v="47.55"/>
    <s v="26.42"/>
    <n v="6.34"/>
    <n v="41.21"/>
  </r>
  <r>
    <x v="1"/>
    <x v="1"/>
    <x v="4"/>
    <s v="CUST_ID_106"/>
    <s v="PROD_ID_005"/>
    <x v="57"/>
    <s v="None"/>
    <d v="2021-11-08T00:00:00"/>
    <x v="6"/>
    <x v="3"/>
    <x v="1"/>
    <n v="2.6139999999999999"/>
    <s v="4.00"/>
    <s v="23.00"/>
    <n v="60.122"/>
    <s v="-"/>
    <n v="60.122"/>
    <s v="32.67"/>
    <n v="10.456"/>
    <n v="49.665999999999997"/>
  </r>
  <r>
    <x v="1"/>
    <x v="2"/>
    <x v="4"/>
    <s v="CUST_ID_107"/>
    <s v="PROD_ID_005"/>
    <x v="93"/>
    <s v="None"/>
    <d v="2020-05-18T00:00:00"/>
    <x v="10"/>
    <x v="2"/>
    <x v="0"/>
    <n v="1.0660000000000001"/>
    <s v="4.00"/>
    <s v="23.00"/>
    <n v="24.518000000000001"/>
    <s v="-"/>
    <n v="24.518000000000001"/>
    <s v="13.32"/>
    <n v="4.2640000000000002"/>
    <n v="20.254000000000001"/>
  </r>
  <r>
    <x v="1"/>
    <x v="3"/>
    <x v="4"/>
    <s v="CUST_ID_108"/>
    <s v="PROD_ID_005"/>
    <x v="79"/>
    <s v="None"/>
    <d v="2021-09-16T00:00:00"/>
    <x v="0"/>
    <x v="0"/>
    <x v="1"/>
    <n v="2.964"/>
    <s v="4.00"/>
    <s v="23.00"/>
    <n v="68.171999999999997"/>
    <s v="-"/>
    <n v="68.171999999999997"/>
    <s v="37.05"/>
    <n v="11.856"/>
    <n v="56.316000000000003"/>
  </r>
  <r>
    <x v="3"/>
    <x v="7"/>
    <x v="4"/>
    <s v="CUST_ID_048"/>
    <s v="PROD_ID_005"/>
    <x v="47"/>
    <s v="None"/>
    <d v="2021-01-11T00:00:00"/>
    <x v="1"/>
    <x v="1"/>
    <x v="1"/>
    <n v="1.8160000000000001"/>
    <s v="4.00"/>
    <s v="525.00"/>
    <n v="953.4"/>
    <s v="-"/>
    <n v="953.4"/>
    <s v="529.55"/>
    <n v="7.2640000000000002"/>
    <n v="946.13599999999997"/>
  </r>
  <r>
    <x v="1"/>
    <x v="4"/>
    <x v="0"/>
    <s v="CUST_ID_109"/>
    <s v="PROD_ID_001"/>
    <x v="80"/>
    <s v="None"/>
    <d v="2021-10-23T00:00:00"/>
    <x v="9"/>
    <x v="3"/>
    <x v="1"/>
    <n v="1.105"/>
    <s v="6.00"/>
    <s v="23.00"/>
    <n v="25.414999999999999"/>
    <s v="-"/>
    <n v="25.414999999999999"/>
    <s v="13.82"/>
    <n v="6.63"/>
    <n v="18.785"/>
  </r>
  <r>
    <x v="4"/>
    <x v="5"/>
    <x v="0"/>
    <s v="CUST_ID_110"/>
    <s v="PROD_ID_001"/>
    <x v="49"/>
    <s v="None"/>
    <d v="2020-10-24T00:00:00"/>
    <x v="9"/>
    <x v="3"/>
    <x v="0"/>
    <n v="3.0219999999999998"/>
    <s v="6.00"/>
    <s v="18.00"/>
    <n v="54.396000000000001"/>
    <s v="-"/>
    <n v="54.396000000000001"/>
    <s v="30.22"/>
    <n v="18.132000000000001"/>
    <n v="36.264000000000003"/>
  </r>
  <r>
    <x v="3"/>
    <x v="2"/>
    <x v="0"/>
    <s v="CUST_ID_059"/>
    <s v="PROD_ID_001"/>
    <x v="58"/>
    <s v="None"/>
    <d v="2021-01-02T00:00:00"/>
    <x v="1"/>
    <x v="1"/>
    <x v="1"/>
    <n v="2.2789999999999999"/>
    <s v="6.00"/>
    <s v="30.00"/>
    <n v="68.37"/>
    <s v="-"/>
    <n v="68.37"/>
    <s v="37.98"/>
    <n v="13.673999999999999"/>
    <n v="54.695999999999998"/>
  </r>
  <r>
    <x v="4"/>
    <x v="6"/>
    <x v="0"/>
    <s v="CUST_ID_111"/>
    <s v="PROD_ID_001"/>
    <x v="50"/>
    <s v="None"/>
    <d v="2020-03-14T00:00:00"/>
    <x v="8"/>
    <x v="1"/>
    <x v="0"/>
    <n v="1.8540000000000001"/>
    <s v="6.00"/>
    <s v="18.00"/>
    <n v="33.372"/>
    <s v="-"/>
    <n v="33.372"/>
    <s v="18.54"/>
    <n v="11.124000000000001"/>
    <n v="22.248000000000001"/>
  </r>
  <r>
    <x v="1"/>
    <x v="7"/>
    <x v="0"/>
    <s v="CUST_ID_112"/>
    <s v="PROD_ID_001"/>
    <x v="81"/>
    <s v="None"/>
    <d v="2020-07-29T00:00:00"/>
    <x v="3"/>
    <x v="0"/>
    <x v="0"/>
    <n v="2.964"/>
    <s v="6.00"/>
    <s v="23.00"/>
    <n v="68.171999999999997"/>
    <s v="-"/>
    <n v="68.171999999999997"/>
    <s v="37.05"/>
    <n v="17.783999999999999"/>
    <n v="50.387999999999998"/>
  </r>
  <r>
    <x v="0"/>
    <x v="0"/>
    <x v="0"/>
    <s v="CUST_ID_001"/>
    <s v="PROD_ID_001"/>
    <x v="0"/>
    <s v="None"/>
    <d v="2021-02-25T00:00:00"/>
    <x v="4"/>
    <x v="1"/>
    <x v="1"/>
    <n v="3.1989999999999998"/>
    <s v="6.00"/>
    <s v="188.00"/>
    <n v="601.41200000000003"/>
    <s v="-"/>
    <n v="601.41200000000003"/>
    <s v="333.19"/>
    <n v="19.193999999999999"/>
    <n v="582.21799999999996"/>
  </r>
  <r>
    <x v="2"/>
    <x v="1"/>
    <x v="0"/>
    <s v="CUST_ID_050"/>
    <s v="PROD_ID_001"/>
    <x v="49"/>
    <s v="None"/>
    <d v="2021-02-13T00:00:00"/>
    <x v="4"/>
    <x v="1"/>
    <x v="1"/>
    <n v="1.1499999999999999"/>
    <s v="6.00"/>
    <s v="450.00"/>
    <n v="517.5"/>
    <s v="-"/>
    <n v="517.5"/>
    <s v="287.40"/>
    <n v="6.9"/>
    <n v="510.6"/>
  </r>
  <r>
    <x v="3"/>
    <x v="4"/>
    <x v="0"/>
    <s v="CUST_ID_037"/>
    <s v="PROD_ID_001"/>
    <x v="36"/>
    <s v="None"/>
    <d v="2021-01-25T00:00:00"/>
    <x v="1"/>
    <x v="1"/>
    <x v="1"/>
    <n v="2.5750000000000002"/>
    <s v="6.00"/>
    <s v="11.00"/>
    <n v="28.324999999999999"/>
    <s v="-"/>
    <n v="28.324999999999999"/>
    <d v="2025-02-15T00:00:00"/>
    <n v="15.45"/>
    <n v="12.875"/>
  </r>
  <r>
    <x v="1"/>
    <x v="0"/>
    <x v="0"/>
    <s v="CUST_ID_113"/>
    <s v="PROD_ID_001"/>
    <x v="82"/>
    <s v="None"/>
    <d v="2020-03-09T00:00:00"/>
    <x v="8"/>
    <x v="1"/>
    <x v="0"/>
    <n v="738"/>
    <s v="6.00"/>
    <s v="23.00"/>
    <n v="16.974"/>
    <s v="-"/>
    <n v="16.974"/>
    <d v="2023-09-01T00:00:00"/>
    <n v="4.4279999999999999"/>
    <n v="12.545999999999999"/>
  </r>
  <r>
    <x v="3"/>
    <x v="3"/>
    <x v="1"/>
    <s v="CUST_ID_004"/>
    <s v="PROD_ID_002"/>
    <x v="3"/>
    <s v="None"/>
    <d v="2020-04-30T00:00:00"/>
    <x v="5"/>
    <x v="2"/>
    <x v="0"/>
    <n v="350"/>
    <s v="12.00"/>
    <s v="30.00"/>
    <n v="10.5"/>
    <s v="-"/>
    <n v="10.5"/>
    <d v="1984-05-01T00:00:00"/>
    <n v="4.2"/>
    <n v="6.3"/>
  </r>
  <r>
    <x v="1"/>
    <x v="3"/>
    <x v="1"/>
    <s v="CUST_ID_044"/>
    <s v="PROD_ID_002"/>
    <x v="43"/>
    <s v="None"/>
    <d v="2021-04-04T00:00:00"/>
    <x v="5"/>
    <x v="2"/>
    <x v="1"/>
    <n v="1.169"/>
    <s v="12.00"/>
    <s v="23.00"/>
    <n v="26.887"/>
    <s v="-"/>
    <n v="26.887"/>
    <s v="14.61"/>
    <n v="14.028"/>
    <n v="12.859"/>
  </r>
  <r>
    <x v="4"/>
    <x v="3"/>
    <x v="1"/>
    <s v="CUST_ID_060"/>
    <s v="PROD_ID_002"/>
    <x v="41"/>
    <s v="None"/>
    <d v="2021-11-04T00:00:00"/>
    <x v="6"/>
    <x v="3"/>
    <x v="1"/>
    <n v="3.0219999999999998"/>
    <s v="12.00"/>
    <s v="18.00"/>
    <n v="54.396000000000001"/>
    <s v="-"/>
    <n v="54.396000000000001"/>
    <s v="30.22"/>
    <n v="36.264000000000003"/>
    <n v="18.132000000000001"/>
  </r>
  <r>
    <x v="3"/>
    <x v="7"/>
    <x v="1"/>
    <s v="CUST_ID_072"/>
    <s v="PROD_ID_002"/>
    <x v="69"/>
    <s v="None"/>
    <d v="2021-07-20T00:00:00"/>
    <x v="3"/>
    <x v="0"/>
    <x v="1"/>
    <n v="1.2070000000000001"/>
    <s v="12.00"/>
    <s v="525.00"/>
    <n v="633.67499999999995"/>
    <s v="-"/>
    <n v="633.67499999999995"/>
    <s v="352.10"/>
    <n v="14.484"/>
    <n v="619.19100000000003"/>
  </r>
  <r>
    <x v="4"/>
    <x v="5"/>
    <x v="1"/>
    <s v="CUST_ID_014"/>
    <s v="PROD_ID_002"/>
    <x v="13"/>
    <s v="None"/>
    <d v="2020-05-24T00:00:00"/>
    <x v="10"/>
    <x v="2"/>
    <x v="0"/>
    <n v="440"/>
    <s v="12.00"/>
    <s v="18.00"/>
    <n v="7.92"/>
    <s v="-"/>
    <n v="7.92"/>
    <d v="1940-04-01T00:00:00"/>
    <n v="5.28"/>
    <n v="2.64"/>
  </r>
  <r>
    <x v="3"/>
    <x v="7"/>
    <x v="1"/>
    <s v="CUST_ID_040"/>
    <s v="PROD_ID_002"/>
    <x v="39"/>
    <s v="None"/>
    <d v="2020-08-29T00:00:00"/>
    <x v="2"/>
    <x v="0"/>
    <x v="0"/>
    <n v="1.06"/>
    <s v="12.00"/>
    <s v="11.00"/>
    <n v="11.66"/>
    <s v="-"/>
    <n v="11.66"/>
    <d v="2018-06-01T00:00:00"/>
    <n v="12.72"/>
    <n v="-1.06"/>
  </r>
  <r>
    <x v="1"/>
    <x v="3"/>
    <x v="1"/>
    <s v="CUST_ID_044"/>
    <s v="PROD_ID_002"/>
    <x v="43"/>
    <s v="None"/>
    <d v="2020-02-27T00:00:00"/>
    <x v="4"/>
    <x v="1"/>
    <x v="0"/>
    <n v="2.9660000000000002"/>
    <s v="12.00"/>
    <s v="23.00"/>
    <n v="68.218000000000004"/>
    <s v="-"/>
    <n v="68.218000000000004"/>
    <s v="37.08"/>
    <n v="35.591999999999999"/>
    <n v="32.625999999999998"/>
  </r>
  <r>
    <x v="3"/>
    <x v="2"/>
    <x v="1"/>
    <s v="CUST_ID_027"/>
    <s v="PROD_ID_002"/>
    <x v="26"/>
    <s v="None"/>
    <d v="2021-11-10T00:00:00"/>
    <x v="6"/>
    <x v="3"/>
    <x v="1"/>
    <n v="1.3720000000000001"/>
    <s v="12.00"/>
    <s v="11.00"/>
    <n v="15.092000000000001"/>
    <s v="-"/>
    <n v="15.092000000000001"/>
    <s v="8.00"/>
    <n v="16.463999999999999"/>
    <n v="-1.3720000000000001"/>
  </r>
  <r>
    <x v="3"/>
    <x v="3"/>
    <x v="1"/>
    <s v="CUST_ID_004"/>
    <s v="PROD_ID_002"/>
    <x v="3"/>
    <s v="None"/>
    <d v="2021-01-18T00:00:00"/>
    <x v="1"/>
    <x v="1"/>
    <x v="1"/>
    <n v="2.1800000000000002"/>
    <s v="12.00"/>
    <s v="30.00"/>
    <n v="65.400000000000006"/>
    <s v="-"/>
    <n v="65.400000000000006"/>
    <s v="36.34"/>
    <n v="26.16"/>
    <n v="39.24"/>
  </r>
  <r>
    <x v="3"/>
    <x v="7"/>
    <x v="1"/>
    <s v="CUST_ID_072"/>
    <s v="PROD_ID_002"/>
    <x v="69"/>
    <s v="None"/>
    <d v="2021-02-11T00:00:00"/>
    <x v="4"/>
    <x v="1"/>
    <x v="1"/>
    <n v="1.8160000000000001"/>
    <s v="12.00"/>
    <s v="525.00"/>
    <n v="953.4"/>
    <s v="-"/>
    <n v="953.4"/>
    <s v="529.55"/>
    <n v="21.792000000000002"/>
    <n v="931.60799999999995"/>
  </r>
  <r>
    <x v="3"/>
    <x v="6"/>
    <x v="2"/>
    <s v="CUST_ID_031"/>
    <s v="PROD_ID_003"/>
    <x v="30"/>
    <s v="None"/>
    <d v="2021-03-04T00:00:00"/>
    <x v="8"/>
    <x v="1"/>
    <x v="1"/>
    <n v="1.792"/>
    <s v="148.00"/>
    <s v="11.00"/>
    <n v="19.712"/>
    <s v="-"/>
    <n v="19.712"/>
    <d v="1945-10-01T00:00:00"/>
    <n v="265.21600000000001"/>
    <n v="-245.50399999999999"/>
  </r>
  <r>
    <x v="0"/>
    <x v="4"/>
    <x v="2"/>
    <s v="CUST_ID_053"/>
    <s v="PROD_ID_003"/>
    <x v="52"/>
    <s v="None"/>
    <d v="2021-06-28T00:00:00"/>
    <x v="11"/>
    <x v="2"/>
    <x v="1"/>
    <n v="2.165"/>
    <s v="148.00"/>
    <s v="188.00"/>
    <n v="407.02"/>
    <s v="-"/>
    <n v="407.02"/>
    <s v="225.50"/>
    <n v="320.42"/>
    <n v="86.6"/>
  </r>
  <r>
    <x v="4"/>
    <x v="1"/>
    <x v="2"/>
    <s v="CUST_ID_114"/>
    <s v="PROD_ID_003"/>
    <x v="83"/>
    <s v="None"/>
    <d v="2020-08-19T00:00:00"/>
    <x v="2"/>
    <x v="0"/>
    <x v="0"/>
    <n v="2.593"/>
    <s v="148.00"/>
    <s v="18.00"/>
    <n v="46.673999999999999"/>
    <s v="-"/>
    <n v="46.673999999999999"/>
    <s v="25.93"/>
    <n v="383.76400000000001"/>
    <n v="-337.09"/>
  </r>
  <r>
    <x v="3"/>
    <x v="3"/>
    <x v="2"/>
    <s v="CUST_ID_028"/>
    <s v="PROD_ID_003"/>
    <x v="27"/>
    <s v="None"/>
    <d v="2021-10-04T00:00:00"/>
    <x v="9"/>
    <x v="3"/>
    <x v="1"/>
    <n v="1.2070000000000001"/>
    <s v="148.00"/>
    <s v="525.00"/>
    <n v="633.67499999999995"/>
    <s v="-"/>
    <n v="633.67499999999995"/>
    <s v="352.10"/>
    <n v="178.636"/>
    <n v="455.03899999999999"/>
  </r>
  <r>
    <x v="4"/>
    <x v="1"/>
    <x v="2"/>
    <s v="CUST_ID_114"/>
    <s v="PROD_ID_003"/>
    <x v="83"/>
    <s v="None"/>
    <d v="2021-08-04T00:00:00"/>
    <x v="2"/>
    <x v="0"/>
    <x v="1"/>
    <n v="1.8540000000000001"/>
    <s v="148.00"/>
    <s v="18.00"/>
    <n v="33.372"/>
    <s v="-"/>
    <n v="33.372"/>
    <s v="18.54"/>
    <n v="274.392"/>
    <n v="-241.02"/>
  </r>
  <r>
    <x v="0"/>
    <x v="6"/>
    <x v="2"/>
    <s v="CUST_ID_015"/>
    <s v="PROD_ID_003"/>
    <x v="14"/>
    <s v="None"/>
    <d v="2021-08-19T00:00:00"/>
    <x v="2"/>
    <x v="0"/>
    <x v="1"/>
    <n v="3.3849999999999998"/>
    <s v="148.00"/>
    <s v="188.00"/>
    <n v="636.38"/>
    <s v="-"/>
    <n v="636.38"/>
    <s v="352.63"/>
    <n v="500.98"/>
    <n v="135.4"/>
  </r>
  <r>
    <x v="2"/>
    <x v="6"/>
    <x v="3"/>
    <s v="CUST_ID_063"/>
    <s v="PROD_ID_004"/>
    <x v="61"/>
    <s v="None"/>
    <d v="2021-03-26T00:00:00"/>
    <x v="8"/>
    <x v="1"/>
    <x v="1"/>
    <n v="2.4009999999999998"/>
    <s v="308.00"/>
    <s v="450.00"/>
    <s v="1,080,450"/>
    <s v="-"/>
    <s v="1,080,450"/>
    <s v="600.30"/>
    <n v="739.50800000000004"/>
    <n v="340.94200000000001"/>
  </r>
  <r>
    <x v="4"/>
    <x v="2"/>
    <x v="3"/>
    <s v="CUST_ID_067"/>
    <s v="PROD_ID_004"/>
    <x v="65"/>
    <s v="None"/>
    <d v="2021-07-03T00:00:00"/>
    <x v="3"/>
    <x v="0"/>
    <x v="1"/>
    <n v="3.4060000000000001"/>
    <s v="308.00"/>
    <s v="18.00"/>
    <n v="61.308"/>
    <s v="-"/>
    <n v="61.308"/>
    <s v="34.06"/>
    <s v="1,049,048"/>
    <n v="-987.74"/>
  </r>
  <r>
    <x v="1"/>
    <x v="6"/>
    <x v="3"/>
    <s v="CUST_ID_087"/>
    <s v="PROD_ID_004"/>
    <x v="50"/>
    <s v="None"/>
    <d v="2020-07-24T00:00:00"/>
    <x v="3"/>
    <x v="0"/>
    <x v="0"/>
    <n v="2.6139999999999999"/>
    <s v="308.00"/>
    <s v="23.00"/>
    <n v="60.122"/>
    <s v="-"/>
    <n v="60.122"/>
    <s v="32.67"/>
    <n v="805.11199999999997"/>
    <n v="-744.99"/>
  </r>
  <r>
    <x v="1"/>
    <x v="6"/>
    <x v="3"/>
    <s v="CUST_ID_039"/>
    <s v="PROD_ID_004"/>
    <x v="38"/>
    <s v="None"/>
    <d v="2020-02-03T00:00:00"/>
    <x v="4"/>
    <x v="1"/>
    <x v="0"/>
    <n v="1.0660000000000001"/>
    <s v="308.00"/>
    <s v="23.00"/>
    <n v="24.518000000000001"/>
    <s v="-"/>
    <n v="24.518000000000001"/>
    <s v="13.32"/>
    <n v="328.32799999999997"/>
    <n v="-303.81"/>
  </r>
  <r>
    <x v="2"/>
    <x v="5"/>
    <x v="3"/>
    <s v="CUST_ID_062"/>
    <s v="PROD_ID_004"/>
    <x v="60"/>
    <s v="None"/>
    <d v="2020-05-23T00:00:00"/>
    <x v="10"/>
    <x v="2"/>
    <x v="0"/>
    <n v="2.581"/>
    <s v="308.00"/>
    <s v="450.00"/>
    <s v="1,161,450"/>
    <s v="-"/>
    <s v="1,161,450"/>
    <s v="645.30"/>
    <n v="794.94799999999998"/>
    <n v="366.50200000000001"/>
  </r>
  <r>
    <x v="3"/>
    <x v="6"/>
    <x v="3"/>
    <s v="CUST_ID_055"/>
    <s v="PROD_ID_004"/>
    <x v="54"/>
    <s v="None"/>
    <d v="2021-12-15T00:00:00"/>
    <x v="7"/>
    <x v="3"/>
    <x v="1"/>
    <n v="2.1800000000000002"/>
    <s v="308.00"/>
    <s v="30.00"/>
    <n v="65.400000000000006"/>
    <s v="-"/>
    <n v="65.400000000000006"/>
    <s v="36.34"/>
    <n v="671.44"/>
    <n v="-606.04"/>
  </r>
  <r>
    <x v="3"/>
    <x v="0"/>
    <x v="5"/>
    <s v="CUST_ID_065"/>
    <s v="PROD_ID_006"/>
    <x v="63"/>
    <s v="None"/>
    <d v="2020-08-23T00:00:00"/>
    <x v="2"/>
    <x v="0"/>
    <x v="0"/>
    <n v="3.3"/>
    <s v="320.00"/>
    <s v="525.00"/>
    <s v="1,732,500"/>
    <s v="-"/>
    <s v="1,732,500"/>
    <s v="962.50"/>
    <s v="1,056,000"/>
    <n v="676.5"/>
  </r>
  <r>
    <x v="4"/>
    <x v="1"/>
    <x v="5"/>
    <s v="CUST_ID_018"/>
    <s v="PROD_ID_006"/>
    <x v="17"/>
    <s v="None"/>
    <d v="2020-10-13T00:00:00"/>
    <x v="9"/>
    <x v="3"/>
    <x v="0"/>
    <n v="2.3439999999999999"/>
    <s v="320.00"/>
    <s v="18.00"/>
    <n v="42.192"/>
    <s v="-"/>
    <n v="42.192"/>
    <s v="23.44"/>
    <n v="750.08"/>
    <n v="-707.88800000000003"/>
  </r>
  <r>
    <x v="0"/>
    <x v="0"/>
    <x v="5"/>
    <s v="CUST_ID_073"/>
    <s v="PROD_ID_006"/>
    <x v="70"/>
    <s v="None"/>
    <d v="2021-02-20T00:00:00"/>
    <x v="4"/>
    <x v="1"/>
    <x v="1"/>
    <n v="5.0629999999999997"/>
    <s v="320.00"/>
    <s v="188.00"/>
    <n v="951.84400000000005"/>
    <s v="-"/>
    <n v="951.84400000000005"/>
    <s v="527.44"/>
    <s v="1,620,160"/>
    <n v="-668.31600000000003"/>
  </r>
  <r>
    <x v="3"/>
    <x v="0"/>
    <x v="5"/>
    <s v="CUST_ID_065"/>
    <s v="PROD_ID_006"/>
    <x v="63"/>
    <s v="None"/>
    <d v="2021-07-03T00:00:00"/>
    <x v="3"/>
    <x v="0"/>
    <x v="1"/>
    <n v="2.2789999999999999"/>
    <s v="320.00"/>
    <s v="30.00"/>
    <n v="68.37"/>
    <s v="-"/>
    <n v="68.37"/>
    <s v="37.98"/>
    <n v="729.28"/>
    <n v="-660.91"/>
  </r>
  <r>
    <x v="3"/>
    <x v="2"/>
    <x v="5"/>
    <s v="CUST_ID_035"/>
    <s v="PROD_ID_006"/>
    <x v="34"/>
    <s v="None"/>
    <d v="2021-09-14T00:00:00"/>
    <x v="0"/>
    <x v="0"/>
    <x v="1"/>
    <n v="2.0230000000000001"/>
    <s v="320.00"/>
    <s v="11.00"/>
    <n v="22.253"/>
    <s v="-"/>
    <n v="22.253"/>
    <d v="1980-11-01T00:00:00"/>
    <n v="647.36"/>
    <n v="-625.10699999999997"/>
  </r>
  <r>
    <x v="4"/>
    <x v="1"/>
    <x v="5"/>
    <s v="CUST_ID_018"/>
    <s v="PROD_ID_006"/>
    <x v="17"/>
    <s v="None"/>
    <d v="2020-11-15T00:00:00"/>
    <x v="6"/>
    <x v="3"/>
    <x v="0"/>
    <n v="2.569"/>
    <s v="320.00"/>
    <s v="18.00"/>
    <n v="46.241999999999997"/>
    <s v="-"/>
    <n v="46.241999999999997"/>
    <s v="25.69"/>
    <n v="822.08"/>
    <n v="-775.83799999999997"/>
  </r>
  <r>
    <x v="3"/>
    <x v="7"/>
    <x v="5"/>
    <s v="CUST_ID_064"/>
    <s v="PROD_ID_006"/>
    <x v="62"/>
    <s v="None"/>
    <d v="2021-04-23T00:00:00"/>
    <x v="5"/>
    <x v="2"/>
    <x v="1"/>
    <n v="1.3720000000000001"/>
    <s v="320.00"/>
    <s v="11.00"/>
    <n v="15.092000000000001"/>
    <s v="-"/>
    <n v="15.092000000000001"/>
    <s v="8.00"/>
    <n v="439.04"/>
    <n v="-423.94799999999998"/>
  </r>
  <r>
    <x v="1"/>
    <x v="5"/>
    <x v="5"/>
    <s v="CUST_ID_046"/>
    <s v="PROD_ID_006"/>
    <x v="45"/>
    <s v="None"/>
    <d v="2020-12-26T00:00:00"/>
    <x v="7"/>
    <x v="3"/>
    <x v="0"/>
    <n v="738"/>
    <s v="320.00"/>
    <s v="23.00"/>
    <n v="16.974"/>
    <s v="-"/>
    <n v="16.974"/>
    <d v="2023-09-01T00:00:00"/>
    <n v="236.16"/>
    <n v="-219.18600000000001"/>
  </r>
  <r>
    <x v="3"/>
    <x v="3"/>
    <x v="1"/>
    <s v="CUST_ID_052"/>
    <s v="PROD_ID_002"/>
    <x v="51"/>
    <s v="Low"/>
    <d v="2020-09-23T00:00:00"/>
    <x v="0"/>
    <x v="0"/>
    <x v="0"/>
    <n v="4.734"/>
    <s v="12.00"/>
    <s v="11.00"/>
    <n v="52.073999999999998"/>
    <n v="521"/>
    <n v="51.552999999999997"/>
    <s v="27.34"/>
    <n v="56.808"/>
    <n v="-5.2549999999999999"/>
  </r>
  <r>
    <x v="1"/>
    <x v="1"/>
    <x v="1"/>
    <s v="CUST_ID_002"/>
    <s v="PROD_ID_002"/>
    <x v="1"/>
    <s v="Low"/>
    <d v="2020-12-16T00:00:00"/>
    <x v="7"/>
    <x v="3"/>
    <x v="0"/>
    <n v="2.7549999999999999"/>
    <s v="12.00"/>
    <s v="23.00"/>
    <n v="63.365000000000002"/>
    <n v="634"/>
    <n v="62.731000000000002"/>
    <s v="34.10"/>
    <n v="33.06"/>
    <n v="29.670999999999999"/>
  </r>
  <r>
    <x v="3"/>
    <x v="3"/>
    <x v="1"/>
    <s v="CUST_ID_052"/>
    <s v="PROD_ID_002"/>
    <x v="51"/>
    <s v="Low"/>
    <d v="2021-08-12T00:00:00"/>
    <x v="2"/>
    <x v="0"/>
    <x v="1"/>
    <n v="1.236"/>
    <s v="12.00"/>
    <s v="11.00"/>
    <n v="13.596"/>
    <n v="136"/>
    <n v="13.46"/>
    <d v="2014-07-01T00:00:00"/>
    <n v="14.832000000000001"/>
    <n v="-1.3720000000000001"/>
  </r>
  <r>
    <x v="3"/>
    <x v="5"/>
    <x v="2"/>
    <s v="CUST_ID_054"/>
    <s v="PROD_ID_003"/>
    <x v="53"/>
    <s v="Low"/>
    <d v="2020-10-31T00:00:00"/>
    <x v="9"/>
    <x v="3"/>
    <x v="0"/>
    <n v="767"/>
    <s v="148.00"/>
    <s v="11.00"/>
    <n v="8.4369999999999994"/>
    <n v="84"/>
    <n v="8.3529999999999998"/>
    <d v="1943-04-01T00:00:00"/>
    <n v="113.51600000000001"/>
    <n v="-105.163"/>
  </r>
  <r>
    <x v="3"/>
    <x v="6"/>
    <x v="3"/>
    <s v="CUST_ID_055"/>
    <s v="PROD_ID_004"/>
    <x v="54"/>
    <s v="Low"/>
    <d v="2021-03-19T00:00:00"/>
    <x v="8"/>
    <x v="1"/>
    <x v="1"/>
    <n v="1.591"/>
    <s v="308.00"/>
    <s v="11.00"/>
    <n v="17.501000000000001"/>
    <n v="175"/>
    <n v="17.326000000000001"/>
    <d v="2019-09-01T00:00:00"/>
    <n v="490.02800000000002"/>
    <n v="-472.702"/>
  </r>
  <r>
    <x v="4"/>
    <x v="3"/>
    <x v="4"/>
    <s v="CUST_ID_084"/>
    <s v="PROD_ID_005"/>
    <x v="79"/>
    <s v="Low"/>
    <d v="2021-09-07T00:00:00"/>
    <x v="0"/>
    <x v="0"/>
    <x v="1"/>
    <n v="2.23"/>
    <s v="4.00"/>
    <s v="18.00"/>
    <n v="40.14"/>
    <n v="401"/>
    <n v="39.738999999999997"/>
    <d v="2025-07-22T00:00:00"/>
    <n v="8.92"/>
    <n v="30.818999999999999"/>
  </r>
  <r>
    <x v="3"/>
    <x v="1"/>
    <x v="4"/>
    <s v="CUST_ID_066"/>
    <s v="PROD_ID_005"/>
    <x v="64"/>
    <s v="Low"/>
    <d v="2020-06-27T00:00:00"/>
    <x v="11"/>
    <x v="2"/>
    <x v="0"/>
    <n v="1.452"/>
    <s v="4.00"/>
    <s v="525.00"/>
    <n v="762.3"/>
    <n v="7.6230000000000002"/>
    <n v="754.67700000000002"/>
    <s v="419.27"/>
    <n v="5.8079999999999998"/>
    <n v="748.86900000000003"/>
  </r>
  <r>
    <x v="3"/>
    <x v="0"/>
    <x v="4"/>
    <s v="CUST_ID_057"/>
    <s v="PROD_ID_005"/>
    <x v="56"/>
    <s v="Low"/>
    <d v="2020-08-20T00:00:00"/>
    <x v="2"/>
    <x v="0"/>
    <x v="0"/>
    <n v="3.0350000000000001"/>
    <s v="4.00"/>
    <s v="11.00"/>
    <n v="33.384999999999998"/>
    <n v="334"/>
    <n v="33.051000000000002"/>
    <s v="17.53"/>
    <n v="12.14"/>
    <n v="20.911000000000001"/>
  </r>
  <r>
    <x v="4"/>
    <x v="3"/>
    <x v="4"/>
    <s v="CUST_ID_036"/>
    <s v="PROD_ID_005"/>
    <x v="35"/>
    <s v="Low"/>
    <d v="2020-08-10T00:00:00"/>
    <x v="2"/>
    <x v="0"/>
    <x v="0"/>
    <n v="1.734"/>
    <s v="4.00"/>
    <s v="18.00"/>
    <n v="31.212"/>
    <n v="312"/>
    <n v="30.9"/>
    <s v="17.17"/>
    <n v="6.9359999999999999"/>
    <n v="23.963999999999999"/>
  </r>
  <r>
    <x v="4"/>
    <x v="7"/>
    <x v="4"/>
    <s v="CUST_ID_088"/>
    <s v="PROD_ID_005"/>
    <x v="81"/>
    <s v="Low"/>
    <d v="2021-12-10T00:00:00"/>
    <x v="7"/>
    <x v="3"/>
    <x v="1"/>
    <n v="3.2050000000000001"/>
    <s v="4.00"/>
    <s v="18.00"/>
    <n v="57.69"/>
    <n v="577"/>
    <n v="57.113"/>
    <s v="31.73"/>
    <n v="12.82"/>
    <n v="44.292999999999999"/>
  </r>
  <r>
    <x v="3"/>
    <x v="1"/>
    <x v="4"/>
    <s v="CUST_ID_066"/>
    <s v="PROD_ID_005"/>
    <x v="64"/>
    <s v="Low"/>
    <d v="2020-08-03T00:00:00"/>
    <x v="2"/>
    <x v="0"/>
    <x v="0"/>
    <n v="1.6759999999999999"/>
    <s v="4.00"/>
    <s v="525.00"/>
    <n v="879.9"/>
    <n v="8.7989999999999995"/>
    <n v="871.101"/>
    <s v="484.06"/>
    <n v="6.7039999999999997"/>
    <n v="864.39700000000005"/>
  </r>
  <r>
    <x v="3"/>
    <x v="4"/>
    <x v="4"/>
    <s v="CUST_ID_021"/>
    <s v="PROD_ID_005"/>
    <x v="20"/>
    <s v="Low"/>
    <d v="2020-04-06T00:00:00"/>
    <x v="5"/>
    <x v="2"/>
    <x v="0"/>
    <n v="2.5859999999999999"/>
    <s v="4.00"/>
    <s v="525.00"/>
    <s v="1,357,650"/>
    <n v="13.577"/>
    <s v="1,344,074"/>
    <s v="746.71"/>
    <n v="10.343999999999999"/>
    <s v="1,333,730"/>
  </r>
  <r>
    <x v="1"/>
    <x v="7"/>
    <x v="0"/>
    <s v="CUST_ID_112"/>
    <s v="PROD_ID_001"/>
    <x v="81"/>
    <s v="Low"/>
    <d v="2020-01-15T00:00:00"/>
    <x v="1"/>
    <x v="1"/>
    <x v="0"/>
    <n v="2.657"/>
    <s v="6.00"/>
    <s v="23.00"/>
    <n v="61.110999999999997"/>
    <n v="611"/>
    <n v="60.5"/>
    <s v="32.88"/>
    <n v="15.942"/>
    <n v="44.558"/>
  </r>
  <r>
    <x v="2"/>
    <x v="3"/>
    <x v="0"/>
    <s v="CUST_ID_012"/>
    <s v="PROD_ID_001"/>
    <x v="11"/>
    <s v="Low"/>
    <d v="2020-11-28T00:00:00"/>
    <x v="6"/>
    <x v="3"/>
    <x v="0"/>
    <n v="2.7610000000000001"/>
    <s v="6.00"/>
    <s v="450.00"/>
    <s v="1,242,450"/>
    <n v="12.425000000000001"/>
    <s v="1,230,026"/>
    <s v="683.40"/>
    <n v="16.565999999999999"/>
    <s v="1,213,460"/>
  </r>
  <r>
    <x v="3"/>
    <x v="2"/>
    <x v="0"/>
    <s v="CUST_ID_059"/>
    <s v="PROD_ID_001"/>
    <x v="58"/>
    <s v="Low"/>
    <d v="2021-11-21T00:00:00"/>
    <x v="6"/>
    <x v="3"/>
    <x v="1"/>
    <n v="1.651"/>
    <s v="6.00"/>
    <s v="30.00"/>
    <n v="49.53"/>
    <n v="495"/>
    <n v="49.034999999999997"/>
    <s v="27.23"/>
    <n v="9.9060000000000006"/>
    <n v="39.128999999999998"/>
  </r>
  <r>
    <x v="3"/>
    <x v="2"/>
    <x v="0"/>
    <s v="CUST_ID_043"/>
    <s v="PROD_ID_001"/>
    <x v="42"/>
    <s v="Low"/>
    <d v="2020-08-07T00:00:00"/>
    <x v="2"/>
    <x v="0"/>
    <x v="0"/>
    <n v="2.1960000000000002"/>
    <s v="6.00"/>
    <s v="11.00"/>
    <n v="24.155999999999999"/>
    <n v="242"/>
    <n v="23.914000000000001"/>
    <d v="1968-12-01T00:00:00"/>
    <n v="13.176"/>
    <n v="10.738"/>
  </r>
  <r>
    <x v="1"/>
    <x v="1"/>
    <x v="1"/>
    <s v="CUST_ID_026"/>
    <s v="PROD_ID_002"/>
    <x v="25"/>
    <s v="Low"/>
    <d v="2021-09-07T00:00:00"/>
    <x v="0"/>
    <x v="0"/>
    <x v="1"/>
    <n v="1.8169999999999999"/>
    <s v="12.00"/>
    <s v="23.00"/>
    <n v="41.790999999999997"/>
    <n v="418"/>
    <n v="41.372999999999998"/>
    <s v="22.48"/>
    <n v="21.803999999999998"/>
    <n v="19.568999999999999"/>
  </r>
  <r>
    <x v="3"/>
    <x v="2"/>
    <x v="1"/>
    <s v="CUST_ID_027"/>
    <s v="PROD_ID_002"/>
    <x v="26"/>
    <s v="Low"/>
    <d v="2020-02-17T00:00:00"/>
    <x v="4"/>
    <x v="1"/>
    <x v="0"/>
    <n v="5.391"/>
    <s v="12.00"/>
    <s v="11.00"/>
    <n v="59.301000000000002"/>
    <n v="593"/>
    <n v="58.707999999999998"/>
    <s v="31.13"/>
    <n v="64.691999999999993"/>
    <n v="-5.984"/>
  </r>
  <r>
    <x v="0"/>
    <x v="2"/>
    <x v="1"/>
    <s v="CUST_ID_115"/>
    <s v="PROD_ID_002"/>
    <x v="84"/>
    <s v="Low"/>
    <d v="2021-03-05T00:00:00"/>
    <x v="8"/>
    <x v="1"/>
    <x v="1"/>
    <n v="872"/>
    <s v="12.00"/>
    <s v="188.00"/>
    <n v="163.93600000000001"/>
    <n v="1.639"/>
    <n v="162.297"/>
    <s v="89.97"/>
    <n v="10.464"/>
    <n v="151.833"/>
  </r>
  <r>
    <x v="0"/>
    <x v="2"/>
    <x v="1"/>
    <s v="CUST_ID_051"/>
    <s v="PROD_ID_002"/>
    <x v="50"/>
    <s v="Low"/>
    <d v="2020-06-24T00:00:00"/>
    <x v="11"/>
    <x v="2"/>
    <x v="0"/>
    <n v="944"/>
    <s v="12.00"/>
    <s v="188.00"/>
    <n v="177.47200000000001"/>
    <n v="1.7749999999999999"/>
    <n v="175.697"/>
    <s v="97.39"/>
    <n v="11.327999999999999"/>
    <n v="164.369"/>
  </r>
  <r>
    <x v="0"/>
    <x v="7"/>
    <x v="1"/>
    <s v="CUST_ID_024"/>
    <s v="PROD_ID_002"/>
    <x v="23"/>
    <s v="Low"/>
    <d v="2021-11-30T00:00:00"/>
    <x v="6"/>
    <x v="3"/>
    <x v="1"/>
    <n v="2.1880000000000002"/>
    <s v="12.00"/>
    <s v="188.00"/>
    <n v="411.34399999999999"/>
    <n v="4.1130000000000004"/>
    <n v="407.23099999999999"/>
    <s v="225.60"/>
    <n v="26.256"/>
    <n v="380.97500000000002"/>
  </r>
  <r>
    <x v="1"/>
    <x v="5"/>
    <x v="1"/>
    <s v="CUST_ID_038"/>
    <s v="PROD_ID_002"/>
    <x v="37"/>
    <s v="Low"/>
    <d v="2020-06-08T00:00:00"/>
    <x v="11"/>
    <x v="2"/>
    <x v="0"/>
    <n v="896"/>
    <s v="12.00"/>
    <s v="23.00"/>
    <n v="20.608000000000001"/>
    <n v="206"/>
    <n v="20.402000000000001"/>
    <d v="2025-09-11T00:00:00"/>
    <n v="10.752000000000001"/>
    <n v="9.65"/>
  </r>
  <r>
    <x v="2"/>
    <x v="3"/>
    <x v="1"/>
    <s v="CUST_ID_116"/>
    <s v="PROD_ID_002"/>
    <x v="85"/>
    <s v="Low"/>
    <d v="2021-01-17T00:00:00"/>
    <x v="1"/>
    <x v="1"/>
    <x v="1"/>
    <n v="3.4860000000000002"/>
    <s v="12.00"/>
    <s v="450.00"/>
    <s v="1,568,700"/>
    <n v="15.686999999999999"/>
    <s v="1,553,013"/>
    <s v="862.79"/>
    <n v="41.832000000000001"/>
    <s v="1,511,181"/>
  </r>
  <r>
    <x v="3"/>
    <x v="3"/>
    <x v="1"/>
    <s v="CUST_ID_052"/>
    <s v="PROD_ID_002"/>
    <x v="51"/>
    <s v="Low"/>
    <d v="2021-08-04T00:00:00"/>
    <x v="2"/>
    <x v="0"/>
    <x v="1"/>
    <n v="2.5859999999999999"/>
    <s v="12.00"/>
    <s v="525.00"/>
    <s v="1,357,650"/>
    <n v="13.577"/>
    <s v="1,344,074"/>
    <s v="746.71"/>
    <n v="31.032"/>
    <s v="1,313,042"/>
  </r>
  <r>
    <x v="3"/>
    <x v="5"/>
    <x v="2"/>
    <s v="CUST_ID_054"/>
    <s v="PROD_ID_003"/>
    <x v="53"/>
    <s v="Low"/>
    <d v="2020-10-13T00:00:00"/>
    <x v="9"/>
    <x v="3"/>
    <x v="0"/>
    <n v="4.6369999999999996"/>
    <s v="148.00"/>
    <s v="30.00"/>
    <n v="139.11000000000001"/>
    <n v="1.391"/>
    <n v="137.71899999999999"/>
    <s v="76.51"/>
    <n v="686.27599999999995"/>
    <n v="-548.55700000000002"/>
  </r>
  <r>
    <x v="3"/>
    <x v="6"/>
    <x v="2"/>
    <s v="CUST_ID_031"/>
    <s v="PROD_ID_003"/>
    <x v="30"/>
    <s v="Low"/>
    <d v="2021-11-01T00:00:00"/>
    <x v="6"/>
    <x v="3"/>
    <x v="1"/>
    <n v="434"/>
    <s v="148.00"/>
    <s v="11.00"/>
    <n v="4.774"/>
    <n v="48"/>
    <n v="4.726"/>
    <d v="1951-02-01T00:00:00"/>
    <n v="64.231999999999999"/>
    <n v="-59.506"/>
  </r>
  <r>
    <x v="0"/>
    <x v="6"/>
    <x v="2"/>
    <s v="CUST_ID_007"/>
    <s v="PROD_ID_003"/>
    <x v="6"/>
    <s v="Low"/>
    <d v="2021-04-04T00:00:00"/>
    <x v="5"/>
    <x v="2"/>
    <x v="1"/>
    <n v="1.1080000000000001"/>
    <s v="148.00"/>
    <s v="188.00"/>
    <n v="208.304"/>
    <n v="2.0830000000000002"/>
    <n v="206.221"/>
    <s v="114.22"/>
    <n v="163.98400000000001"/>
    <n v="42.237000000000002"/>
  </r>
  <r>
    <x v="3"/>
    <x v="7"/>
    <x v="3"/>
    <s v="CUST_ID_056"/>
    <s v="PROD_ID_004"/>
    <x v="55"/>
    <s v="Low"/>
    <d v="2021-12-22T00:00:00"/>
    <x v="7"/>
    <x v="3"/>
    <x v="1"/>
    <n v="316"/>
    <s v="308.00"/>
    <s v="11.00"/>
    <n v="3.476"/>
    <n v="35"/>
    <n v="3.4409999999999998"/>
    <d v="1982-01-01T00:00:00"/>
    <n v="97.328000000000003"/>
    <n v="-93.887"/>
  </r>
  <r>
    <x v="3"/>
    <x v="6"/>
    <x v="3"/>
    <s v="CUST_ID_055"/>
    <s v="PROD_ID_004"/>
    <x v="54"/>
    <s v="Low"/>
    <d v="2020-09-21T00:00:00"/>
    <x v="0"/>
    <x v="0"/>
    <x v="0"/>
    <n v="1.1319999999999999"/>
    <s v="308.00"/>
    <s v="525.00"/>
    <n v="594.29999999999995"/>
    <n v="5.9429999999999996"/>
    <n v="588.35699999999997"/>
    <s v="326.92"/>
    <n v="348.65600000000001"/>
    <n v="239.70099999999999"/>
  </r>
  <r>
    <x v="0"/>
    <x v="4"/>
    <x v="3"/>
    <s v="CUST_ID_117"/>
    <s v="PROD_ID_004"/>
    <x v="56"/>
    <s v="Low"/>
    <d v="2020-04-30T00:00:00"/>
    <x v="5"/>
    <x v="2"/>
    <x v="0"/>
    <n v="872"/>
    <s v="308.00"/>
    <s v="188.00"/>
    <n v="163.93600000000001"/>
    <n v="1.639"/>
    <n v="162.297"/>
    <s v="89.97"/>
    <n v="268.57600000000002"/>
    <n v="-106.279"/>
  </r>
  <r>
    <x v="0"/>
    <x v="5"/>
    <x v="3"/>
    <s v="CUST_ID_118"/>
    <s v="PROD_ID_004"/>
    <x v="86"/>
    <s v="Low"/>
    <d v="2020-05-27T00:00:00"/>
    <x v="10"/>
    <x v="2"/>
    <x v="0"/>
    <n v="944"/>
    <s v="308.00"/>
    <s v="188.00"/>
    <n v="177.47200000000001"/>
    <n v="1.7749999999999999"/>
    <n v="175.697"/>
    <s v="97.39"/>
    <n v="290.75200000000001"/>
    <n v="-115.05500000000001"/>
  </r>
  <r>
    <x v="2"/>
    <x v="7"/>
    <x v="3"/>
    <s v="CUST_ID_032"/>
    <s v="PROD_ID_004"/>
    <x v="31"/>
    <s v="Low"/>
    <d v="2021-10-09T00:00:00"/>
    <x v="9"/>
    <x v="3"/>
    <x v="1"/>
    <n v="1.1830000000000001"/>
    <s v="308.00"/>
    <s v="450.00"/>
    <n v="532.35"/>
    <n v="5.3239999999999998"/>
    <n v="527.02700000000004"/>
    <s v="292.84"/>
    <n v="364.36399999999998"/>
    <n v="162.66300000000001"/>
  </r>
  <r>
    <x v="3"/>
    <x v="1"/>
    <x v="3"/>
    <s v="CUST_ID_034"/>
    <s v="PROD_ID_004"/>
    <x v="33"/>
    <s v="Low"/>
    <d v="2021-10-09T00:00:00"/>
    <x v="9"/>
    <x v="3"/>
    <x v="1"/>
    <n v="1.6759999999999999"/>
    <s v="308.00"/>
    <s v="525.00"/>
    <n v="879.9"/>
    <n v="8.7989999999999995"/>
    <n v="871.101"/>
    <s v="484.06"/>
    <n v="516.20799999999997"/>
    <n v="354.89299999999997"/>
  </r>
  <r>
    <x v="0"/>
    <x v="5"/>
    <x v="3"/>
    <s v="CUST_ID_118"/>
    <s v="PROD_ID_004"/>
    <x v="86"/>
    <s v="Low"/>
    <d v="2020-09-21T00:00:00"/>
    <x v="0"/>
    <x v="0"/>
    <x v="0"/>
    <n v="2.093"/>
    <s v="308.00"/>
    <s v="188.00"/>
    <n v="393.48399999999998"/>
    <n v="3.9350000000000001"/>
    <n v="389.54899999999998"/>
    <s v="215.82"/>
    <n v="644.64400000000001"/>
    <n v="-255.095"/>
  </r>
  <r>
    <x v="0"/>
    <x v="5"/>
    <x v="4"/>
    <s v="CUST_ID_094"/>
    <s v="PROD_ID_005"/>
    <x v="86"/>
    <s v="Low"/>
    <d v="2021-05-27T00:00:00"/>
    <x v="10"/>
    <x v="2"/>
    <x v="1"/>
    <n v="891"/>
    <s v="4.00"/>
    <s v="188.00"/>
    <n v="167.50800000000001"/>
    <n v="3.35"/>
    <n v="164.15799999999999"/>
    <s v="90.96"/>
    <n v="3.5640000000000001"/>
    <n v="160.59399999999999"/>
  </r>
  <r>
    <x v="4"/>
    <x v="3"/>
    <x v="4"/>
    <s v="CUST_ID_036"/>
    <s v="PROD_ID_005"/>
    <x v="35"/>
    <s v="Low"/>
    <d v="2020-05-03T00:00:00"/>
    <x v="10"/>
    <x v="2"/>
    <x v="0"/>
    <n v="1.554"/>
    <s v="4.00"/>
    <s v="18.00"/>
    <n v="27.972000000000001"/>
    <n v="559"/>
    <n v="27.413"/>
    <s v="15.23"/>
    <n v="6.2160000000000002"/>
    <n v="21.196999999999999"/>
  </r>
  <r>
    <x v="3"/>
    <x v="1"/>
    <x v="4"/>
    <s v="CUST_ID_042"/>
    <s v="PROD_ID_005"/>
    <x v="41"/>
    <s v="Low"/>
    <d v="2020-07-20T00:00:00"/>
    <x v="3"/>
    <x v="0"/>
    <x v="0"/>
    <n v="3.4220000000000002"/>
    <s v="4.00"/>
    <s v="525.00"/>
    <s v="1,796,550"/>
    <n v="35.930999999999997"/>
    <s v="1,760,619"/>
    <s v="978.24"/>
    <n v="13.688000000000001"/>
    <s v="1,746,931"/>
  </r>
  <r>
    <x v="4"/>
    <x v="6"/>
    <x v="0"/>
    <s v="CUST_ID_119"/>
    <s v="PROD_ID_001"/>
    <x v="87"/>
    <s v="Low"/>
    <d v="2021-11-10T00:00:00"/>
    <x v="6"/>
    <x v="3"/>
    <x v="1"/>
    <n v="1.37"/>
    <s v="6.00"/>
    <s v="18.00"/>
    <n v="24.66"/>
    <n v="493"/>
    <n v="24.167000000000002"/>
    <s v="13.43"/>
    <n v="8.2200000000000006"/>
    <n v="15.946999999999999"/>
  </r>
  <r>
    <x v="3"/>
    <x v="2"/>
    <x v="0"/>
    <s v="CUST_ID_099"/>
    <s v="PROD_ID_001"/>
    <x v="72"/>
    <s v="Low"/>
    <d v="2020-07-17T00:00:00"/>
    <x v="3"/>
    <x v="0"/>
    <x v="0"/>
    <n v="1.879"/>
    <s v="6.00"/>
    <s v="30.00"/>
    <n v="56.37"/>
    <n v="1.127"/>
    <n v="55.243000000000002"/>
    <s v="30.69"/>
    <n v="11.273999999999999"/>
    <n v="43.969000000000001"/>
  </r>
  <r>
    <x v="4"/>
    <x v="7"/>
    <x v="0"/>
    <s v="CUST_ID_120"/>
    <s v="PROD_ID_001"/>
    <x v="69"/>
    <s v="Low"/>
    <d v="2021-07-26T00:00:00"/>
    <x v="3"/>
    <x v="0"/>
    <x v="1"/>
    <n v="828"/>
    <s v="6.00"/>
    <s v="18.00"/>
    <n v="14.904"/>
    <n v="298"/>
    <n v="14.606"/>
    <d v="2025-11-08T00:00:00"/>
    <n v="4.968"/>
    <n v="9.6379999999999999"/>
  </r>
  <r>
    <x v="1"/>
    <x v="5"/>
    <x v="1"/>
    <s v="CUST_ID_006"/>
    <s v="PROD_ID_002"/>
    <x v="5"/>
    <s v="Low"/>
    <d v="2021-10-24T00:00:00"/>
    <x v="9"/>
    <x v="3"/>
    <x v="1"/>
    <n v="2.8359999999999999"/>
    <s v="12.00"/>
    <s v="23.00"/>
    <n v="65.227999999999994"/>
    <n v="1.3049999999999999"/>
    <n v="63.923000000000002"/>
    <s v="34.74"/>
    <n v="34.031999999999996"/>
    <n v="29.890999999999998"/>
  </r>
  <r>
    <x v="2"/>
    <x v="0"/>
    <x v="1"/>
    <s v="CUST_ID_121"/>
    <s v="PROD_ID_002"/>
    <x v="70"/>
    <s v="Low"/>
    <d v="2020-06-02T00:00:00"/>
    <x v="11"/>
    <x v="2"/>
    <x v="0"/>
    <n v="1.1020000000000001"/>
    <s v="12.00"/>
    <s v="450.00"/>
    <n v="495.9"/>
    <n v="9.9179999999999993"/>
    <n v="485.98200000000003"/>
    <s v="269.89"/>
    <n v="13.224"/>
    <n v="472.75799999999998"/>
  </r>
  <r>
    <x v="2"/>
    <x v="4"/>
    <x v="1"/>
    <s v="CUST_ID_069"/>
    <s v="PROD_ID_002"/>
    <x v="56"/>
    <s v="Low"/>
    <d v="2020-07-29T00:00:00"/>
    <x v="3"/>
    <x v="0"/>
    <x v="0"/>
    <n v="2.0739999999999998"/>
    <s v="12.00"/>
    <s v="450.00"/>
    <n v="933.3"/>
    <n v="18.666"/>
    <n v="914.63400000000001"/>
    <s v="508.03"/>
    <n v="24.888000000000002"/>
    <n v="889.74599999999998"/>
  </r>
  <r>
    <x v="4"/>
    <x v="4"/>
    <x v="1"/>
    <s v="CUST_ID_005"/>
    <s v="PROD_ID_002"/>
    <x v="4"/>
    <s v="Low"/>
    <d v="2020-05-20T00:00:00"/>
    <x v="10"/>
    <x v="2"/>
    <x v="0"/>
    <n v="1.37"/>
    <s v="12.00"/>
    <s v="18.00"/>
    <n v="24.66"/>
    <n v="493"/>
    <n v="24.167000000000002"/>
    <s v="13.43"/>
    <n v="16.440000000000001"/>
    <n v="7.7270000000000003"/>
  </r>
  <r>
    <x v="0"/>
    <x v="7"/>
    <x v="1"/>
    <s v="CUST_ID_024"/>
    <s v="PROD_ID_002"/>
    <x v="23"/>
    <s v="Low"/>
    <d v="2020-05-01T00:00:00"/>
    <x v="10"/>
    <x v="2"/>
    <x v="0"/>
    <n v="794"/>
    <s v="12.00"/>
    <s v="188.00"/>
    <n v="149.27199999999999"/>
    <n v="2.9849999999999999"/>
    <n v="146.28700000000001"/>
    <s v="81.10"/>
    <n v="9.5280000000000005"/>
    <n v="136.75899999999999"/>
  </r>
  <r>
    <x v="4"/>
    <x v="3"/>
    <x v="1"/>
    <s v="CUST_ID_060"/>
    <s v="PROD_ID_002"/>
    <x v="41"/>
    <s v="Low"/>
    <d v="2020-02-23T00:00:00"/>
    <x v="4"/>
    <x v="1"/>
    <x v="0"/>
    <n v="1.554"/>
    <s v="12.00"/>
    <s v="18.00"/>
    <n v="27.972000000000001"/>
    <n v="559"/>
    <n v="27.413"/>
    <s v="15.23"/>
    <n v="18.648"/>
    <n v="8.7650000000000006"/>
  </r>
  <r>
    <x v="2"/>
    <x v="5"/>
    <x v="1"/>
    <s v="CUST_ID_070"/>
    <s v="PROD_ID_002"/>
    <x v="67"/>
    <s v="Low"/>
    <d v="2020-12-16T00:00:00"/>
    <x v="7"/>
    <x v="3"/>
    <x v="0"/>
    <n v="2.2989999999999999"/>
    <s v="12.00"/>
    <s v="450.00"/>
    <s v="1,034,550"/>
    <n v="20.690999999999999"/>
    <s v="1,013,859"/>
    <s v="563.30"/>
    <n v="27.588000000000001"/>
    <n v="986.27099999999996"/>
  </r>
  <r>
    <x v="3"/>
    <x v="3"/>
    <x v="1"/>
    <s v="CUST_ID_004"/>
    <s v="PROD_ID_002"/>
    <x v="3"/>
    <s v="Low"/>
    <d v="2020-04-19T00:00:00"/>
    <x v="5"/>
    <x v="2"/>
    <x v="0"/>
    <n v="3.4220000000000002"/>
    <s v="12.00"/>
    <s v="525.00"/>
    <s v="1,796,550"/>
    <n v="35.930999999999997"/>
    <s v="1,760,619"/>
    <s v="978.24"/>
    <n v="41.064"/>
    <s v="1,719,555"/>
  </r>
  <r>
    <x v="0"/>
    <x v="1"/>
    <x v="1"/>
    <s v="CUST_ID_122"/>
    <s v="PROD_ID_002"/>
    <x v="71"/>
    <s v="Low"/>
    <d v="2020-12-04T00:00:00"/>
    <x v="7"/>
    <x v="3"/>
    <x v="0"/>
    <n v="3.2749999999999999"/>
    <s v="12.00"/>
    <s v="188.00"/>
    <n v="615.70000000000005"/>
    <n v="12.314"/>
    <n v="603.38599999999997"/>
    <s v="334.30"/>
    <n v="39.299999999999997"/>
    <n v="564.08600000000001"/>
  </r>
  <r>
    <x v="4"/>
    <x v="0"/>
    <x v="1"/>
    <s v="CUST_ID_025"/>
    <s v="PROD_ID_002"/>
    <x v="24"/>
    <s v="Low"/>
    <d v="2020-02-06T00:00:00"/>
    <x v="4"/>
    <x v="1"/>
    <x v="0"/>
    <n v="1.266"/>
    <s v="12.00"/>
    <s v="18.00"/>
    <n v="22.788"/>
    <n v="456"/>
    <n v="22.332000000000001"/>
    <d v="1941-12-01T00:00:00"/>
    <n v="15.192"/>
    <n v="7.14"/>
  </r>
  <r>
    <x v="4"/>
    <x v="6"/>
    <x v="1"/>
    <s v="CUST_ID_071"/>
    <s v="PROD_ID_002"/>
    <x v="68"/>
    <s v="Low"/>
    <d v="2021-04-19T00:00:00"/>
    <x v="5"/>
    <x v="2"/>
    <x v="1"/>
    <n v="1.3009999999999999"/>
    <s v="12.00"/>
    <s v="18.00"/>
    <n v="23.417999999999999"/>
    <n v="468"/>
    <n v="22.95"/>
    <d v="1975-12-01T00:00:00"/>
    <n v="15.612"/>
    <n v="7.3380000000000001"/>
  </r>
  <r>
    <x v="3"/>
    <x v="0"/>
    <x v="2"/>
    <s v="CUST_ID_041"/>
    <s v="PROD_ID_003"/>
    <x v="40"/>
    <s v="Low"/>
    <d v="2021-08-28T00:00:00"/>
    <x v="2"/>
    <x v="0"/>
    <x v="1"/>
    <n v="1.879"/>
    <s v="148.00"/>
    <s v="30.00"/>
    <n v="56.37"/>
    <n v="1.127"/>
    <n v="55.243000000000002"/>
    <s v="30.69"/>
    <n v="278.09199999999998"/>
    <n v="-222.84899999999999"/>
  </r>
  <r>
    <x v="3"/>
    <x v="3"/>
    <x v="2"/>
    <s v="CUST_ID_028"/>
    <s v="PROD_ID_003"/>
    <x v="27"/>
    <s v="Low"/>
    <d v="2021-09-17T00:00:00"/>
    <x v="0"/>
    <x v="0"/>
    <x v="1"/>
    <n v="3.452"/>
    <s v="148.00"/>
    <s v="525.00"/>
    <s v="1,812,300"/>
    <n v="36.246000000000002"/>
    <s v="1,776,054"/>
    <s v="986.81"/>
    <n v="510.89600000000002"/>
    <s v="1,265,158"/>
  </r>
  <r>
    <x v="4"/>
    <x v="2"/>
    <x v="2"/>
    <s v="CUST_ID_123"/>
    <s v="PROD_ID_003"/>
    <x v="72"/>
    <s v="Low"/>
    <d v="2020-12-14T00:00:00"/>
    <x v="7"/>
    <x v="3"/>
    <x v="0"/>
    <n v="1.266"/>
    <s v="148.00"/>
    <s v="18.00"/>
    <n v="22.788"/>
    <n v="456"/>
    <n v="22.332000000000001"/>
    <d v="1941-12-01T00:00:00"/>
    <n v="187.36799999999999"/>
    <n v="-165.036"/>
  </r>
  <r>
    <x v="4"/>
    <x v="3"/>
    <x v="2"/>
    <s v="CUST_ID_124"/>
    <s v="PROD_ID_003"/>
    <x v="73"/>
    <s v="Low"/>
    <d v="2021-04-09T00:00:00"/>
    <x v="5"/>
    <x v="2"/>
    <x v="1"/>
    <n v="1.3009999999999999"/>
    <s v="148.00"/>
    <s v="18.00"/>
    <n v="23.417999999999999"/>
    <n v="468"/>
    <n v="22.95"/>
    <d v="1975-12-01T00:00:00"/>
    <n v="192.548"/>
    <n v="-169.59800000000001"/>
  </r>
  <r>
    <x v="0"/>
    <x v="4"/>
    <x v="3"/>
    <s v="CUST_ID_125"/>
    <s v="PROD_ID_004"/>
    <x v="52"/>
    <s v="Low"/>
    <d v="2021-12-06T00:00:00"/>
    <x v="7"/>
    <x v="3"/>
    <x v="1"/>
    <n v="794"/>
    <s v="308.00"/>
    <s v="188.00"/>
    <n v="149.27199999999999"/>
    <n v="2.9849999999999999"/>
    <n v="146.28700000000001"/>
    <s v="81.10"/>
    <n v="244.55199999999999"/>
    <n v="-98.265000000000001"/>
  </r>
  <r>
    <x v="3"/>
    <x v="7"/>
    <x v="3"/>
    <s v="CUST_ID_056"/>
    <s v="PROD_ID_004"/>
    <x v="55"/>
    <s v="Low"/>
    <d v="2021-11-16T00:00:00"/>
    <x v="6"/>
    <x v="3"/>
    <x v="1"/>
    <n v="3.452"/>
    <s v="308.00"/>
    <s v="525.00"/>
    <s v="1,812,300"/>
    <n v="36.246000000000002"/>
    <s v="1,776,054"/>
    <s v="986.81"/>
    <s v="1,063,216"/>
    <n v="712.83799999999997"/>
  </r>
  <r>
    <x v="0"/>
    <x v="0"/>
    <x v="3"/>
    <s v="CUST_ID_105"/>
    <s v="PROD_ID_004"/>
    <x v="38"/>
    <s v="Low"/>
    <d v="2021-12-13T00:00:00"/>
    <x v="7"/>
    <x v="3"/>
    <x v="1"/>
    <n v="3.2749999999999999"/>
    <s v="308.00"/>
    <s v="188.00"/>
    <n v="615.70000000000005"/>
    <n v="12.314"/>
    <n v="603.38599999999997"/>
    <s v="334.30"/>
    <s v="1,008,700"/>
    <n v="-405.31400000000002"/>
  </r>
  <r>
    <x v="2"/>
    <x v="5"/>
    <x v="5"/>
    <s v="CUST_ID_126"/>
    <s v="PROD_ID_006"/>
    <x v="90"/>
    <s v="Low"/>
    <d v="2021-02-26T00:00:00"/>
    <x v="4"/>
    <x v="1"/>
    <x v="1"/>
    <n v="311"/>
    <s v="320.00"/>
    <s v="450.00"/>
    <n v="139.94999999999999"/>
    <n v="2.7989999999999999"/>
    <n v="137.15100000000001"/>
    <s v="76.15"/>
    <n v="99.52"/>
    <n v="37.631"/>
  </r>
  <r>
    <x v="2"/>
    <x v="6"/>
    <x v="5"/>
    <s v="CUST_ID_127"/>
    <s v="PROD_ID_006"/>
    <x v="91"/>
    <s v="Low"/>
    <d v="2021-09-25T00:00:00"/>
    <x v="0"/>
    <x v="0"/>
    <x v="1"/>
    <n v="1.321"/>
    <s v="320.00"/>
    <s v="450.00"/>
    <n v="594.45000000000005"/>
    <n v="11.888999999999999"/>
    <n v="582.56100000000004"/>
    <s v="323.69"/>
    <n v="422.72"/>
    <n v="159.84100000000001"/>
  </r>
  <r>
    <x v="0"/>
    <x v="0"/>
    <x v="5"/>
    <s v="CUST_ID_073"/>
    <s v="PROD_ID_006"/>
    <x v="70"/>
    <s v="Low"/>
    <d v="2021-09-23T00:00:00"/>
    <x v="0"/>
    <x v="0"/>
    <x v="1"/>
    <n v="2.7309999999999999"/>
    <s v="320.00"/>
    <s v="188.00"/>
    <n v="513.428"/>
    <n v="10.269"/>
    <n v="503.15899999999999"/>
    <s v="278.81"/>
    <n v="873.92"/>
    <n v="-370.76100000000002"/>
  </r>
  <r>
    <x v="3"/>
    <x v="7"/>
    <x v="5"/>
    <s v="CUST_ID_064"/>
    <s v="PROD_ID_006"/>
    <x v="62"/>
    <s v="Low"/>
    <d v="2020-02-03T00:00:00"/>
    <x v="4"/>
    <x v="1"/>
    <x v="0"/>
    <n v="1.4830000000000001"/>
    <s v="320.00"/>
    <s v="30.00"/>
    <n v="44.49"/>
    <n v="890"/>
    <n v="43.6"/>
    <s v="24.23"/>
    <n v="474.56"/>
    <n v="-430.96"/>
  </r>
  <r>
    <x v="3"/>
    <x v="0"/>
    <x v="5"/>
    <s v="CUST_ID_065"/>
    <s v="PROD_ID_006"/>
    <x v="63"/>
    <s v="Low"/>
    <d v="2021-11-19T00:00:00"/>
    <x v="6"/>
    <x v="3"/>
    <x v="1"/>
    <n v="1.129"/>
    <s v="320.00"/>
    <s v="30.00"/>
    <n v="33.869999999999997"/>
    <n v="677"/>
    <n v="33.192999999999998"/>
    <s v="18.44"/>
    <n v="361.28"/>
    <n v="-328.08699999999999"/>
  </r>
  <r>
    <x v="2"/>
    <x v="7"/>
    <x v="5"/>
    <s v="CUST_ID_128"/>
    <s v="PROD_ID_006"/>
    <x v="92"/>
    <s v="Low"/>
    <d v="2021-05-30T00:00:00"/>
    <x v="10"/>
    <x v="2"/>
    <x v="1"/>
    <n v="2.2989999999999999"/>
    <s v="320.00"/>
    <s v="450.00"/>
    <s v="1,034,550"/>
    <n v="20.690999999999999"/>
    <s v="1,013,859"/>
    <s v="563.30"/>
    <n v="735.68"/>
    <n v="278.17899999999997"/>
  </r>
  <r>
    <x v="0"/>
    <x v="4"/>
    <x v="4"/>
    <s v="CUST_ID_085"/>
    <s v="PROD_ID_005"/>
    <x v="80"/>
    <s v="Low"/>
    <d v="2020-04-28T00:00:00"/>
    <x v="5"/>
    <x v="2"/>
    <x v="0"/>
    <n v="5.0919999999999996"/>
    <s v="4.00"/>
    <s v="188.00"/>
    <n v="957.29600000000005"/>
    <n v="28.719000000000001"/>
    <n v="928.577"/>
    <s v="514.52"/>
    <n v="20.367999999999999"/>
    <n v="908.20899999999995"/>
  </r>
  <r>
    <x v="3"/>
    <x v="7"/>
    <x v="4"/>
    <s v="CUST_ID_048"/>
    <s v="PROD_ID_005"/>
    <x v="47"/>
    <s v="Low"/>
    <d v="2021-04-09T00:00:00"/>
    <x v="5"/>
    <x v="2"/>
    <x v="1"/>
    <n v="3.0960000000000001"/>
    <s v="4.00"/>
    <s v="30.00"/>
    <n v="92.88"/>
    <n v="2.786"/>
    <n v="90.093999999999994"/>
    <s v="50.05"/>
    <n v="12.384"/>
    <n v="77.709999999999994"/>
  </r>
  <r>
    <x v="2"/>
    <x v="3"/>
    <x v="4"/>
    <s v="CUST_ID_020"/>
    <s v="PROD_ID_005"/>
    <x v="19"/>
    <s v="Low"/>
    <d v="2021-10-23T00:00:00"/>
    <x v="9"/>
    <x v="3"/>
    <x v="1"/>
    <n v="827"/>
    <s v="4.00"/>
    <s v="450.00"/>
    <n v="372.15"/>
    <n v="11.164999999999999"/>
    <n v="360.98599999999999"/>
    <s v="200.50"/>
    <n v="3.3079999999999998"/>
    <n v="357.678"/>
  </r>
  <r>
    <x v="4"/>
    <x v="3"/>
    <x v="4"/>
    <s v="CUST_ID_084"/>
    <s v="PROD_ID_005"/>
    <x v="79"/>
    <s v="Low"/>
    <d v="2021-04-23T00:00:00"/>
    <x v="5"/>
    <x v="2"/>
    <x v="1"/>
    <n v="2.3359999999999999"/>
    <s v="4.00"/>
    <s v="18.00"/>
    <n v="42.048000000000002"/>
    <n v="1.2609999999999999"/>
    <n v="40.786999999999999"/>
    <s v="22.66"/>
    <n v="9.3439999999999994"/>
    <n v="31.443000000000001"/>
  </r>
  <r>
    <x v="3"/>
    <x v="4"/>
    <x v="0"/>
    <s v="CUST_ID_037"/>
    <s v="PROD_ID_001"/>
    <x v="36"/>
    <s v="Low"/>
    <d v="2021-05-26T00:00:00"/>
    <x v="10"/>
    <x v="2"/>
    <x v="1"/>
    <n v="2.35"/>
    <s v="6.00"/>
    <s v="11.00"/>
    <n v="25.85"/>
    <n v="776"/>
    <n v="25.074999999999999"/>
    <s v="13.29"/>
    <n v="14.1"/>
    <n v="10.975"/>
  </r>
  <r>
    <x v="4"/>
    <x v="0"/>
    <x v="0"/>
    <s v="CUST_ID_129"/>
    <s v="PROD_ID_001"/>
    <x v="38"/>
    <s v="Low"/>
    <d v="2021-03-13T00:00:00"/>
    <x v="8"/>
    <x v="1"/>
    <x v="1"/>
    <n v="2.2810000000000001"/>
    <s v="6.00"/>
    <s v="18.00"/>
    <n v="41.058"/>
    <n v="1.232"/>
    <n v="39.826000000000001"/>
    <s v="22.13"/>
    <n v="13.686"/>
    <n v="26.14"/>
  </r>
  <r>
    <x v="3"/>
    <x v="2"/>
    <x v="0"/>
    <s v="CUST_ID_059"/>
    <s v="PROD_ID_001"/>
    <x v="58"/>
    <s v="Low"/>
    <d v="2020-07-23T00:00:00"/>
    <x v="3"/>
    <x v="0"/>
    <x v="0"/>
    <n v="653"/>
    <s v="6.00"/>
    <s v="11.00"/>
    <n v="7.1829999999999998"/>
    <n v="215"/>
    <n v="6.968"/>
    <d v="1969-03-01T00:00:00"/>
    <n v="3.9180000000000001"/>
    <n v="3.05"/>
  </r>
  <r>
    <x v="0"/>
    <x v="6"/>
    <x v="0"/>
    <s v="CUST_ID_079"/>
    <s v="PROD_ID_001"/>
    <x v="54"/>
    <s v="Low"/>
    <d v="2020-09-27T00:00:00"/>
    <x v="0"/>
    <x v="0"/>
    <x v="0"/>
    <n v="1.544"/>
    <s v="6.00"/>
    <s v="188.00"/>
    <n v="290.27199999999999"/>
    <n v="8.7080000000000002"/>
    <n v="281.56400000000002"/>
    <s v="156.05"/>
    <n v="9.2639999999999993"/>
    <n v="272.3"/>
  </r>
  <r>
    <x v="0"/>
    <x v="3"/>
    <x v="0"/>
    <s v="CUST_ID_068"/>
    <s v="PROD_ID_001"/>
    <x v="66"/>
    <s v="Low"/>
    <d v="2020-05-15T00:00:00"/>
    <x v="10"/>
    <x v="2"/>
    <x v="0"/>
    <n v="2.0470000000000002"/>
    <s v="6.00"/>
    <s v="188.00"/>
    <n v="384.83600000000001"/>
    <n v="11.545"/>
    <n v="373.291"/>
    <s v="206.85"/>
    <n v="12.282"/>
    <n v="361.00900000000001"/>
  </r>
  <r>
    <x v="2"/>
    <x v="0"/>
    <x v="1"/>
    <s v="CUST_ID_121"/>
    <s v="PROD_ID_002"/>
    <x v="70"/>
    <s v="Low"/>
    <d v="2021-05-25T00:00:00"/>
    <x v="10"/>
    <x v="2"/>
    <x v="1"/>
    <n v="2.9209999999999998"/>
    <s v="12.00"/>
    <s v="450.00"/>
    <s v="1,314,450"/>
    <n v="39.433999999999997"/>
    <s v="1,275,017"/>
    <s v="708.44"/>
    <n v="35.052"/>
    <s v="1,239,965"/>
  </r>
  <r>
    <x v="0"/>
    <x v="1"/>
    <x v="1"/>
    <s v="CUST_ID_122"/>
    <s v="PROD_ID_002"/>
    <x v="71"/>
    <s v="Low"/>
    <d v="2021-10-03T00:00:00"/>
    <x v="9"/>
    <x v="3"/>
    <x v="1"/>
    <n v="2.129"/>
    <s v="12.00"/>
    <s v="188.00"/>
    <n v="400.25200000000001"/>
    <n v="12.007999999999999"/>
    <n v="388.24400000000003"/>
    <s v="215.10"/>
    <n v="25.547999999999998"/>
    <n v="362.69600000000003"/>
  </r>
  <r>
    <x v="4"/>
    <x v="0"/>
    <x v="1"/>
    <s v="CUST_ID_025"/>
    <s v="PROD_ID_002"/>
    <x v="24"/>
    <s v="Low"/>
    <d v="2020-01-14T00:00:00"/>
    <x v="1"/>
    <x v="1"/>
    <x v="0"/>
    <n v="2.2810000000000001"/>
    <s v="12.00"/>
    <s v="18.00"/>
    <n v="41.058"/>
    <n v="1.232"/>
    <n v="39.826000000000001"/>
    <s v="22.13"/>
    <n v="27.372"/>
    <n v="12.454000000000001"/>
  </r>
  <r>
    <x v="2"/>
    <x v="4"/>
    <x v="1"/>
    <s v="CUST_ID_069"/>
    <s v="PROD_ID_002"/>
    <x v="56"/>
    <s v="Low"/>
    <d v="2020-12-14T00:00:00"/>
    <x v="7"/>
    <x v="3"/>
    <x v="0"/>
    <n v="827"/>
    <s v="12.00"/>
    <s v="450.00"/>
    <n v="372.15"/>
    <n v="11.164999999999999"/>
    <n v="360.98599999999999"/>
    <s v="200.50"/>
    <n v="9.9239999999999995"/>
    <n v="351.06200000000001"/>
  </r>
  <r>
    <x v="0"/>
    <x v="6"/>
    <x v="1"/>
    <s v="CUST_ID_023"/>
    <s v="PROD_ID_002"/>
    <x v="22"/>
    <s v="Low"/>
    <d v="2021-06-14T00:00:00"/>
    <x v="11"/>
    <x v="2"/>
    <x v="1"/>
    <n v="1.8839999999999999"/>
    <s v="12.00"/>
    <s v="188.00"/>
    <n v="354.19200000000001"/>
    <n v="10.625999999999999"/>
    <n v="343.56599999999997"/>
    <s v="190.36"/>
    <n v="22.608000000000001"/>
    <n v="320.95800000000003"/>
  </r>
  <r>
    <x v="4"/>
    <x v="4"/>
    <x v="1"/>
    <s v="CUST_ID_005"/>
    <s v="PROD_ID_002"/>
    <x v="4"/>
    <s v="Low"/>
    <d v="2020-06-06T00:00:00"/>
    <x v="11"/>
    <x v="2"/>
    <x v="0"/>
    <n v="1.643"/>
    <s v="12.00"/>
    <s v="18.00"/>
    <n v="29.574000000000002"/>
    <n v="887"/>
    <n v="28.687000000000001"/>
    <s v="15.94"/>
    <n v="19.716000000000001"/>
    <n v="8.9710000000000001"/>
  </r>
  <r>
    <x v="0"/>
    <x v="1"/>
    <x v="1"/>
    <s v="CUST_ID_122"/>
    <s v="PROD_ID_002"/>
    <x v="71"/>
    <s v="Low"/>
    <d v="2020-01-07T00:00:00"/>
    <x v="1"/>
    <x v="1"/>
    <x v="0"/>
    <n v="2.411"/>
    <s v="12.00"/>
    <s v="188.00"/>
    <n v="453.26799999999997"/>
    <n v="13.598000000000001"/>
    <n v="439.67"/>
    <s v="243.59"/>
    <n v="28.931999999999999"/>
    <n v="410.738"/>
  </r>
  <r>
    <x v="0"/>
    <x v="2"/>
    <x v="1"/>
    <s v="CUST_ID_051"/>
    <s v="PROD_ID_002"/>
    <x v="50"/>
    <s v="Low"/>
    <d v="2020-05-31T00:00:00"/>
    <x v="10"/>
    <x v="2"/>
    <x v="0"/>
    <n v="1.544"/>
    <s v="12.00"/>
    <s v="188.00"/>
    <n v="290.27199999999999"/>
    <n v="8.7080000000000002"/>
    <n v="281.56400000000002"/>
    <s v="156.05"/>
    <n v="18.527999999999999"/>
    <n v="263.036"/>
  </r>
  <r>
    <x v="0"/>
    <x v="6"/>
    <x v="1"/>
    <s v="CUST_ID_023"/>
    <s v="PROD_ID_002"/>
    <x v="22"/>
    <s v="Low"/>
    <d v="2021-07-17T00:00:00"/>
    <x v="3"/>
    <x v="0"/>
    <x v="1"/>
    <n v="2.0470000000000002"/>
    <s v="12.00"/>
    <s v="188.00"/>
    <n v="384.83600000000001"/>
    <n v="11.545"/>
    <n v="373.291"/>
    <s v="206.85"/>
    <n v="24.564"/>
    <n v="348.72699999999998"/>
  </r>
  <r>
    <x v="0"/>
    <x v="6"/>
    <x v="2"/>
    <s v="CUST_ID_007"/>
    <s v="PROD_ID_003"/>
    <x v="6"/>
    <s v="Low"/>
    <d v="2021-02-11T00:00:00"/>
    <x v="4"/>
    <x v="1"/>
    <x v="1"/>
    <n v="2.411"/>
    <s v="148.00"/>
    <s v="188.00"/>
    <n v="453.26799999999997"/>
    <n v="13.598000000000001"/>
    <n v="439.67"/>
    <s v="243.59"/>
    <n v="356.82799999999997"/>
    <n v="82.841999999999999"/>
  </r>
  <r>
    <x v="2"/>
    <x v="2"/>
    <x v="3"/>
    <s v="CUST_ID_075"/>
    <s v="PROD_ID_004"/>
    <x v="72"/>
    <s v="Low"/>
    <d v="2021-04-24T00:00:00"/>
    <x v="5"/>
    <x v="2"/>
    <x v="1"/>
    <n v="3.4129999999999998"/>
    <s v="308.00"/>
    <s v="450.00"/>
    <s v="1,535,850"/>
    <n v="46.076000000000001"/>
    <s v="1,489,775"/>
    <s v="827.60"/>
    <s v="1,051,204"/>
    <n v="438.57100000000003"/>
  </r>
  <r>
    <x v="4"/>
    <x v="0"/>
    <x v="3"/>
    <s v="CUST_ID_089"/>
    <s v="PROD_ID_004"/>
    <x v="82"/>
    <s v="Low"/>
    <d v="2020-09-23T00:00:00"/>
    <x v="0"/>
    <x v="0"/>
    <x v="0"/>
    <n v="2.2989999999999999"/>
    <s v="308.00"/>
    <s v="18.00"/>
    <n v="41.381999999999998"/>
    <n v="1.2410000000000001"/>
    <n v="40.140999999999998"/>
    <s v="22.30"/>
    <n v="708.09199999999998"/>
    <n v="-667.95100000000002"/>
  </r>
  <r>
    <x v="0"/>
    <x v="1"/>
    <x v="3"/>
    <s v="CUST_ID_130"/>
    <s v="PROD_ID_004"/>
    <x v="57"/>
    <s v="Low"/>
    <d v="2020-03-08T00:00:00"/>
    <x v="8"/>
    <x v="1"/>
    <x v="0"/>
    <n v="1.8839999999999999"/>
    <s v="308.00"/>
    <s v="188.00"/>
    <n v="354.19200000000001"/>
    <n v="10.625999999999999"/>
    <n v="343.56599999999997"/>
    <s v="190.36"/>
    <n v="580.27200000000005"/>
    <n v="-236.70599999999999"/>
  </r>
  <r>
    <x v="2"/>
    <x v="6"/>
    <x v="3"/>
    <s v="CUST_ID_063"/>
    <s v="PROD_ID_004"/>
    <x v="61"/>
    <s v="Low"/>
    <d v="2020-04-11T00:00:00"/>
    <x v="5"/>
    <x v="2"/>
    <x v="0"/>
    <n v="2.2490000000000001"/>
    <s v="308.00"/>
    <s v="450.00"/>
    <s v="1,012,050"/>
    <n v="30.361999999999998"/>
    <n v="981.68899999999996"/>
    <s v="545.33"/>
    <n v="692.69200000000001"/>
    <n v="288.99700000000001"/>
  </r>
  <r>
    <x v="3"/>
    <x v="1"/>
    <x v="3"/>
    <s v="CUST_ID_034"/>
    <s v="PROD_ID_004"/>
    <x v="33"/>
    <s v="Low"/>
    <d v="2020-12-21T00:00:00"/>
    <x v="7"/>
    <x v="3"/>
    <x v="0"/>
    <n v="1.97"/>
    <s v="308.00"/>
    <s v="525.00"/>
    <s v="1,034,250"/>
    <n v="31.027999999999999"/>
    <s v="1,003,223"/>
    <s v="557.46"/>
    <n v="606.76"/>
    <n v="396.46300000000002"/>
  </r>
  <r>
    <x v="3"/>
    <x v="1"/>
    <x v="4"/>
    <s v="CUST_ID_042"/>
    <s v="PROD_ID_005"/>
    <x v="41"/>
    <s v="Low"/>
    <d v="2020-12-20T00:00:00"/>
    <x v="7"/>
    <x v="3"/>
    <x v="0"/>
    <n v="997"/>
    <s v="4.00"/>
    <s v="30.00"/>
    <n v="29.91"/>
    <n v="897"/>
    <n v="29.013000000000002"/>
    <d v="2025-12-16T00:00:00"/>
    <n v="3.988"/>
    <n v="25.024999999999999"/>
  </r>
  <r>
    <x v="3"/>
    <x v="7"/>
    <x v="2"/>
    <s v="CUST_ID_016"/>
    <s v="PROD_ID_003"/>
    <x v="15"/>
    <s v="Low"/>
    <d v="2020-12-02T00:00:00"/>
    <x v="7"/>
    <x v="3"/>
    <x v="0"/>
    <n v="4.6210000000000004"/>
    <s v="148.00"/>
    <s v="30.00"/>
    <n v="138.63"/>
    <n v="4.1589999999999998"/>
    <n v="134.471"/>
    <s v="74.70"/>
    <n v="683.90800000000002"/>
    <n v="-549.43700000000001"/>
  </r>
  <r>
    <x v="4"/>
    <x v="2"/>
    <x v="3"/>
    <s v="CUST_ID_067"/>
    <s v="PROD_ID_004"/>
    <x v="65"/>
    <s v="Low"/>
    <d v="2021-12-14T00:00:00"/>
    <x v="7"/>
    <x v="3"/>
    <x v="1"/>
    <n v="2.9750000000000001"/>
    <s v="308.00"/>
    <s v="18.00"/>
    <n v="53.55"/>
    <n v="1.607"/>
    <n v="51.944000000000003"/>
    <s v="28.86"/>
    <n v="916.3"/>
    <n v="-864.35699999999997"/>
  </r>
  <r>
    <x v="1"/>
    <x v="7"/>
    <x v="0"/>
    <s v="CUST_ID_112"/>
    <s v="PROD_ID_001"/>
    <x v="81"/>
    <s v="Low"/>
    <d v="2021-04-21T00:00:00"/>
    <x v="5"/>
    <x v="2"/>
    <x v="1"/>
    <n v="2.4369999999999998"/>
    <s v="6.00"/>
    <s v="23.00"/>
    <n v="56.051000000000002"/>
    <n v="2.242"/>
    <n v="53.808999999999997"/>
    <s v="29.25"/>
    <n v="14.622"/>
    <n v="39.186999999999998"/>
  </r>
  <r>
    <x v="1"/>
    <x v="3"/>
    <x v="1"/>
    <s v="CUST_ID_044"/>
    <s v="PROD_ID_002"/>
    <x v="43"/>
    <s v="Low"/>
    <d v="2021-12-23T00:00:00"/>
    <x v="7"/>
    <x v="3"/>
    <x v="1"/>
    <n v="2.4369999999999998"/>
    <s v="12.00"/>
    <s v="23.00"/>
    <n v="56.051000000000002"/>
    <n v="2.242"/>
    <n v="53.808999999999997"/>
    <s v="29.25"/>
    <n v="29.244"/>
    <n v="24.565000000000001"/>
  </r>
  <r>
    <x v="2"/>
    <x v="3"/>
    <x v="4"/>
    <s v="CUST_ID_020"/>
    <s v="PROD_ID_005"/>
    <x v="19"/>
    <s v="Low"/>
    <d v="2020-09-06T00:00:00"/>
    <x v="0"/>
    <x v="0"/>
    <x v="0"/>
    <n v="2.4249999999999998"/>
    <s v="4.00"/>
    <s v="450.00"/>
    <s v="1,091,250"/>
    <n v="43.65"/>
    <s v="1,047,600"/>
    <s v="582.05"/>
    <n v="9.6999999999999993"/>
    <s v="1,037,900"/>
  </r>
  <r>
    <x v="3"/>
    <x v="0"/>
    <x v="4"/>
    <s v="CUST_ID_057"/>
    <s v="PROD_ID_005"/>
    <x v="56"/>
    <s v="Low"/>
    <d v="2021-06-09T00:00:00"/>
    <x v="11"/>
    <x v="2"/>
    <x v="1"/>
    <n v="329"/>
    <s v="4.00"/>
    <s v="525.00"/>
    <n v="172.72499999999999"/>
    <n v="6.9089999999999998"/>
    <n v="165.816"/>
    <s v="92.06"/>
    <n v="1.3160000000000001"/>
    <n v="164.5"/>
  </r>
  <r>
    <x v="1"/>
    <x v="2"/>
    <x v="0"/>
    <s v="CUST_ID_131"/>
    <s v="PROD_ID_001"/>
    <x v="93"/>
    <s v="Low"/>
    <d v="2021-11-28T00:00:00"/>
    <x v="6"/>
    <x v="3"/>
    <x v="1"/>
    <n v="2.36"/>
    <s v="6.00"/>
    <s v="23.00"/>
    <n v="54.28"/>
    <n v="2.1709999999999998"/>
    <n v="52.109000000000002"/>
    <s v="28.32"/>
    <n v="14.16"/>
    <n v="37.948999999999998"/>
  </r>
  <r>
    <x v="2"/>
    <x v="7"/>
    <x v="0"/>
    <s v="CUST_ID_080"/>
    <s v="PROD_ID_001"/>
    <x v="66"/>
    <s v="Low"/>
    <d v="2021-05-20T00:00:00"/>
    <x v="10"/>
    <x v="2"/>
    <x v="1"/>
    <n v="2.2309999999999999"/>
    <s v="6.00"/>
    <s v="450.00"/>
    <s v="1,003,950"/>
    <n v="40.158000000000001"/>
    <n v="963.79200000000003"/>
    <s v="535.39"/>
    <n v="13.385999999999999"/>
    <n v="950.40599999999995"/>
  </r>
  <r>
    <x v="2"/>
    <x v="7"/>
    <x v="0"/>
    <s v="CUST_ID_080"/>
    <s v="PROD_ID_001"/>
    <x v="66"/>
    <s v="Low"/>
    <d v="2021-06-06T00:00:00"/>
    <x v="11"/>
    <x v="2"/>
    <x v="1"/>
    <n v="2.4249999999999998"/>
    <s v="6.00"/>
    <s v="450.00"/>
    <s v="1,091,250"/>
    <n v="43.65"/>
    <s v="1,047,600"/>
    <s v="582.05"/>
    <n v="14.55"/>
    <s v="1,033,050"/>
  </r>
  <r>
    <x v="0"/>
    <x v="5"/>
    <x v="0"/>
    <s v="CUST_ID_022"/>
    <s v="PROD_ID_001"/>
    <x v="21"/>
    <s v="Low"/>
    <d v="2021-11-04T00:00:00"/>
    <x v="6"/>
    <x v="3"/>
    <x v="1"/>
    <n v="1.3660000000000001"/>
    <s v="6.00"/>
    <s v="188.00"/>
    <n v="256.80799999999999"/>
    <n v="10.272"/>
    <n v="246.536"/>
    <s v="136.56"/>
    <n v="8.1959999999999997"/>
    <n v="238.34"/>
  </r>
  <r>
    <x v="3"/>
    <x v="3"/>
    <x v="1"/>
    <s v="CUST_ID_004"/>
    <s v="PROD_ID_002"/>
    <x v="3"/>
    <s v="Low"/>
    <d v="2020-05-05T00:00:00"/>
    <x v="10"/>
    <x v="2"/>
    <x v="0"/>
    <n v="5.101"/>
    <s v="12.00"/>
    <s v="11.00"/>
    <n v="56.110999999999997"/>
    <n v="2.2440000000000002"/>
    <n v="53.866999999999997"/>
    <s v="28.57"/>
    <n v="61.212000000000003"/>
    <n v="-7.3449999999999998"/>
  </r>
  <r>
    <x v="0"/>
    <x v="6"/>
    <x v="1"/>
    <s v="CUST_ID_023"/>
    <s v="PROD_ID_002"/>
    <x v="22"/>
    <s v="Low"/>
    <d v="2021-11-09T00:00:00"/>
    <x v="6"/>
    <x v="3"/>
    <x v="1"/>
    <n v="954"/>
    <s v="12.00"/>
    <s v="188.00"/>
    <n v="179.352"/>
    <n v="7.1740000000000004"/>
    <n v="172.178"/>
    <s v="95.40"/>
    <n v="11.448"/>
    <n v="160.72999999999999"/>
  </r>
  <r>
    <x v="2"/>
    <x v="4"/>
    <x v="1"/>
    <s v="CUST_ID_069"/>
    <s v="PROD_ID_002"/>
    <x v="56"/>
    <s v="Low"/>
    <d v="2020-02-24T00:00:00"/>
    <x v="4"/>
    <x v="1"/>
    <x v="0"/>
    <n v="1.6970000000000001"/>
    <s v="12.00"/>
    <s v="450.00"/>
    <n v="763.65"/>
    <n v="30.545999999999999"/>
    <n v="733.10400000000004"/>
    <s v="407.38"/>
    <n v="20.364000000000001"/>
    <n v="712.74"/>
  </r>
  <r>
    <x v="2"/>
    <x v="3"/>
    <x v="1"/>
    <s v="CUST_ID_116"/>
    <s v="PROD_ID_002"/>
    <x v="85"/>
    <s v="Low"/>
    <d v="2020-08-31T00:00:00"/>
    <x v="2"/>
    <x v="0"/>
    <x v="0"/>
    <n v="3.5019999999999998"/>
    <s v="12.00"/>
    <s v="450.00"/>
    <s v="1,575,900"/>
    <n v="63.036000000000001"/>
    <s v="1,512,864"/>
    <s v="840.38"/>
    <n v="42.024000000000001"/>
    <s v="1,470,840"/>
  </r>
  <r>
    <x v="3"/>
    <x v="2"/>
    <x v="1"/>
    <s v="CUST_ID_027"/>
    <s v="PROD_ID_002"/>
    <x v="26"/>
    <s v="Low"/>
    <d v="2021-07-27T00:00:00"/>
    <x v="3"/>
    <x v="0"/>
    <x v="1"/>
    <n v="4.1399999999999997"/>
    <s v="12.00"/>
    <s v="525.00"/>
    <s v="2,173,500"/>
    <n v="86.94"/>
    <s v="2,086,560"/>
    <s v="1,159.20"/>
    <n v="49.68"/>
    <s v="2,036,880"/>
  </r>
  <r>
    <x v="0"/>
    <x v="2"/>
    <x v="1"/>
    <s v="CUST_ID_051"/>
    <s v="PROD_ID_002"/>
    <x v="50"/>
    <s v="Low"/>
    <d v="2021-01-29T00:00:00"/>
    <x v="1"/>
    <x v="1"/>
    <x v="1"/>
    <n v="3.5859999999999999"/>
    <s v="12.00"/>
    <s v="188.00"/>
    <n v="674.16800000000001"/>
    <n v="26.966999999999999"/>
    <n v="647.20100000000002"/>
    <s v="358.56"/>
    <n v="43.031999999999996"/>
    <n v="604.16899999999998"/>
  </r>
  <r>
    <x v="1"/>
    <x v="5"/>
    <x v="1"/>
    <s v="CUST_ID_006"/>
    <s v="PROD_ID_002"/>
    <x v="5"/>
    <s v="Low"/>
    <d v="2021-04-05T00:00:00"/>
    <x v="5"/>
    <x v="2"/>
    <x v="1"/>
    <n v="262"/>
    <s v="12.00"/>
    <s v="23.00"/>
    <n v="6.0259999999999998"/>
    <n v="241"/>
    <n v="5.7850000000000001"/>
    <d v="2014-03-01T00:00:00"/>
    <n v="3.1440000000000001"/>
    <n v="2.641"/>
  </r>
  <r>
    <x v="3"/>
    <x v="3"/>
    <x v="1"/>
    <s v="CUST_ID_004"/>
    <s v="PROD_ID_002"/>
    <x v="3"/>
    <s v="Low"/>
    <d v="2021-12-30T00:00:00"/>
    <x v="7"/>
    <x v="3"/>
    <x v="1"/>
    <n v="2.4889999999999999"/>
    <s v="12.00"/>
    <s v="30.00"/>
    <n v="74.67"/>
    <n v="2.9870000000000001"/>
    <n v="71.683000000000007"/>
    <s v="39.82"/>
    <n v="29.867999999999999"/>
    <n v="41.814999999999998"/>
  </r>
  <r>
    <x v="3"/>
    <x v="2"/>
    <x v="1"/>
    <s v="CUST_ID_027"/>
    <s v="PROD_ID_002"/>
    <x v="26"/>
    <s v="Low"/>
    <d v="2021-03-16T00:00:00"/>
    <x v="8"/>
    <x v="1"/>
    <x v="1"/>
    <n v="1.2669999999999999"/>
    <s v="12.00"/>
    <s v="30.00"/>
    <n v="38.01"/>
    <n v="1.52"/>
    <n v="36.49"/>
    <s v="20.28"/>
    <n v="15.204000000000001"/>
    <n v="21.286000000000001"/>
  </r>
  <r>
    <x v="3"/>
    <x v="2"/>
    <x v="1"/>
    <s v="CUST_ID_027"/>
    <s v="PROD_ID_002"/>
    <x v="26"/>
    <s v="Low"/>
    <d v="2020-11-16T00:00:00"/>
    <x v="6"/>
    <x v="3"/>
    <x v="0"/>
    <n v="329"/>
    <s v="12.00"/>
    <s v="525.00"/>
    <n v="172.72499999999999"/>
    <n v="6.9089999999999998"/>
    <n v="165.816"/>
    <s v="92.06"/>
    <n v="3.948"/>
    <n v="161.86799999999999"/>
  </r>
  <r>
    <x v="0"/>
    <x v="7"/>
    <x v="1"/>
    <s v="CUST_ID_024"/>
    <s v="PROD_ID_002"/>
    <x v="23"/>
    <s v="Low"/>
    <d v="2020-02-19T00:00:00"/>
    <x v="4"/>
    <x v="1"/>
    <x v="0"/>
    <n v="1.3660000000000001"/>
    <s v="12.00"/>
    <s v="188.00"/>
    <n v="256.80799999999999"/>
    <n v="10.272"/>
    <n v="246.536"/>
    <s v="136.56"/>
    <n v="16.391999999999999"/>
    <n v="230.14400000000001"/>
  </r>
  <r>
    <x v="4"/>
    <x v="3"/>
    <x v="2"/>
    <s v="CUST_ID_132"/>
    <s v="PROD_ID_003"/>
    <x v="79"/>
    <s v="Low"/>
    <d v="2021-12-26T00:00:00"/>
    <x v="7"/>
    <x v="3"/>
    <x v="1"/>
    <n v="1.758"/>
    <s v="148.00"/>
    <s v="18.00"/>
    <n v="31.643999999999998"/>
    <n v="1.266"/>
    <n v="30.378"/>
    <s v="16.88"/>
    <n v="260.18400000000003"/>
    <n v="-229.80600000000001"/>
  </r>
  <r>
    <x v="3"/>
    <x v="5"/>
    <x v="2"/>
    <s v="CUST_ID_054"/>
    <s v="PROD_ID_003"/>
    <x v="53"/>
    <s v="Low"/>
    <d v="2021-05-18T00:00:00"/>
    <x v="10"/>
    <x v="2"/>
    <x v="1"/>
    <n v="2.6120000000000001"/>
    <s v="148.00"/>
    <s v="525.00"/>
    <s v="1,371,300"/>
    <n v="54.851999999999997"/>
    <s v="1,316,448"/>
    <s v="731.47"/>
    <n v="386.57600000000002"/>
    <n v="929.87199999999996"/>
  </r>
  <r>
    <x v="4"/>
    <x v="0"/>
    <x v="3"/>
    <s v="CUST_ID_081"/>
    <s v="PROD_ID_004"/>
    <x v="76"/>
    <s v="Low"/>
    <d v="2020-06-30T00:00:00"/>
    <x v="11"/>
    <x v="2"/>
    <x v="0"/>
    <n v="1.0389999999999999"/>
    <s v="308.00"/>
    <s v="18.00"/>
    <n v="18.702000000000002"/>
    <n v="748"/>
    <n v="17.954000000000001"/>
    <d v="1998-09-01T00:00:00"/>
    <n v="320.012"/>
    <n v="-302.05799999999999"/>
  </r>
  <r>
    <x v="3"/>
    <x v="7"/>
    <x v="3"/>
    <s v="CUST_ID_008"/>
    <s v="PROD_ID_004"/>
    <x v="7"/>
    <s v="Low"/>
    <d v="2020-03-02T00:00:00"/>
    <x v="8"/>
    <x v="1"/>
    <x v="0"/>
    <n v="2.6120000000000001"/>
    <s v="308.00"/>
    <s v="525.00"/>
    <s v="1,371,300"/>
    <n v="54.851999999999997"/>
    <s v="1,316,448"/>
    <s v="731.47"/>
    <n v="804.49599999999998"/>
    <n v="511.952"/>
  </r>
  <r>
    <x v="3"/>
    <x v="4"/>
    <x v="5"/>
    <s v="CUST_ID_093"/>
    <s v="PROD_ID_006"/>
    <x v="56"/>
    <s v="Low"/>
    <d v="2020-01-10T00:00:00"/>
    <x v="1"/>
    <x v="1"/>
    <x v="0"/>
    <n v="2.238"/>
    <s v="320.00"/>
    <s v="525.00"/>
    <s v="1,174,950"/>
    <n v="46.997999999999998"/>
    <s v="1,127,952"/>
    <s v="626.64"/>
    <n v="716.16"/>
    <n v="411.79199999999997"/>
  </r>
  <r>
    <x v="0"/>
    <x v="3"/>
    <x v="5"/>
    <s v="CUST_ID_092"/>
    <s v="PROD_ID_006"/>
    <x v="85"/>
    <s v="Low"/>
    <d v="2021-05-13T00:00:00"/>
    <x v="10"/>
    <x v="2"/>
    <x v="1"/>
    <n v="1.2889999999999999"/>
    <s v="320.00"/>
    <s v="188.00"/>
    <n v="242.33199999999999"/>
    <n v="9.6929999999999996"/>
    <n v="232.63900000000001"/>
    <s v="128.88"/>
    <n v="412.48"/>
    <n v="-179.84100000000001"/>
  </r>
  <r>
    <x v="3"/>
    <x v="2"/>
    <x v="5"/>
    <s v="CUST_ID_035"/>
    <s v="PROD_ID_006"/>
    <x v="34"/>
    <s v="Low"/>
    <d v="2020-12-10T00:00:00"/>
    <x v="7"/>
    <x v="3"/>
    <x v="0"/>
    <n v="2.2879999999999998"/>
    <s v="320.00"/>
    <s v="525.00"/>
    <s v="1,201,200"/>
    <n v="48.048000000000002"/>
    <s v="1,153,152"/>
    <s v="640.75"/>
    <n v="732.16"/>
    <n v="420.99200000000002"/>
  </r>
  <r>
    <x v="3"/>
    <x v="7"/>
    <x v="1"/>
    <s v="CUST_ID_072"/>
    <s v="PROD_ID_002"/>
    <x v="69"/>
    <s v="Medium"/>
    <d v="2021-04-07T00:00:00"/>
    <x v="5"/>
    <x v="2"/>
    <x v="1"/>
    <n v="1.6459999999999999"/>
    <s v="12.00"/>
    <s v="11.00"/>
    <n v="18.106000000000002"/>
    <n v="905"/>
    <n v="17.201000000000001"/>
    <d v="2025-12-09T00:00:00"/>
    <n v="19.751999999999999"/>
    <n v="-2.5510000000000002"/>
  </r>
  <r>
    <x v="3"/>
    <x v="7"/>
    <x v="1"/>
    <s v="CUST_ID_040"/>
    <s v="PROD_ID_002"/>
    <x v="39"/>
    <s v="Medium"/>
    <d v="2021-02-03T00:00:00"/>
    <x v="4"/>
    <x v="1"/>
    <x v="1"/>
    <n v="3.2269999999999999"/>
    <s v="12.00"/>
    <s v="11.00"/>
    <n v="35.497"/>
    <n v="1.7749999999999999"/>
    <n v="33.722000000000001"/>
    <s v="17.88"/>
    <n v="38.723999999999997"/>
    <n v="-5.0019999999999998"/>
  </r>
  <r>
    <x v="4"/>
    <x v="3"/>
    <x v="1"/>
    <s v="CUST_ID_060"/>
    <s v="PROD_ID_002"/>
    <x v="41"/>
    <s v="Medium"/>
    <d v="2021-12-10T00:00:00"/>
    <x v="7"/>
    <x v="3"/>
    <x v="1"/>
    <n v="2.9169999999999998"/>
    <s v="12.00"/>
    <s v="18.00"/>
    <n v="52.506"/>
    <n v="2.625"/>
    <n v="49.881"/>
    <s v="27.71"/>
    <n v="35.003999999999998"/>
    <n v="14.877000000000001"/>
  </r>
  <r>
    <x v="4"/>
    <x v="4"/>
    <x v="2"/>
    <s v="CUST_ID_133"/>
    <s v="PROD_ID_003"/>
    <x v="80"/>
    <s v="Medium"/>
    <d v="2021-11-08T00:00:00"/>
    <x v="6"/>
    <x v="3"/>
    <x v="1"/>
    <n v="2.9169999999999998"/>
    <s v="148.00"/>
    <s v="18.00"/>
    <n v="52.506"/>
    <n v="2.625"/>
    <n v="49.881"/>
    <s v="27.71"/>
    <n v="431.71600000000001"/>
    <n v="-381.83499999999998"/>
  </r>
  <r>
    <x v="3"/>
    <x v="1"/>
    <x v="3"/>
    <s v="CUST_ID_034"/>
    <s v="PROD_ID_004"/>
    <x v="33"/>
    <s v="Medium"/>
    <d v="2020-07-14T00:00:00"/>
    <x v="3"/>
    <x v="0"/>
    <x v="0"/>
    <n v="3.2269999999999999"/>
    <s v="308.00"/>
    <s v="11.00"/>
    <n v="35.497"/>
    <n v="1.7749999999999999"/>
    <n v="33.722000000000001"/>
    <s v="17.88"/>
    <n v="993.91600000000005"/>
    <n v="-960.19399999999996"/>
  </r>
  <r>
    <x v="3"/>
    <x v="4"/>
    <x v="5"/>
    <s v="CUST_ID_093"/>
    <s v="PROD_ID_006"/>
    <x v="56"/>
    <s v="Medium"/>
    <d v="2021-01-16T00:00:00"/>
    <x v="1"/>
    <x v="1"/>
    <x v="1"/>
    <n v="2.02"/>
    <s v="320.00"/>
    <s v="11.00"/>
    <n v="22.22"/>
    <n v="1.111"/>
    <n v="21.109000000000002"/>
    <d v="2019-11-01T00:00:00"/>
    <n v="646.4"/>
    <n v="-625.29100000000005"/>
  </r>
  <r>
    <x v="4"/>
    <x v="3"/>
    <x v="5"/>
    <s v="CUST_ID_076"/>
    <s v="PROD_ID_006"/>
    <x v="73"/>
    <s v="Medium"/>
    <d v="2021-01-01T00:00:00"/>
    <x v="1"/>
    <x v="1"/>
    <x v="1"/>
    <n v="1.3480000000000001"/>
    <s v="320.00"/>
    <s v="18.00"/>
    <n v="24.263999999999999"/>
    <n v="1.2130000000000001"/>
    <n v="23.050999999999998"/>
    <d v="1980-12-01T00:00:00"/>
    <n v="431.36"/>
    <n v="-408.30900000000003"/>
  </r>
  <r>
    <x v="4"/>
    <x v="7"/>
    <x v="4"/>
    <s v="CUST_ID_088"/>
    <s v="PROD_ID_005"/>
    <x v="81"/>
    <s v="Medium"/>
    <d v="2021-01-13T00:00:00"/>
    <x v="1"/>
    <x v="1"/>
    <x v="1"/>
    <n v="2.238"/>
    <s v="4.00"/>
    <s v="18.00"/>
    <n v="40.283999999999999"/>
    <n v="2.0139999999999998"/>
    <n v="38.270000000000003"/>
    <s v="21.26"/>
    <n v="8.952"/>
    <n v="29.318000000000001"/>
  </r>
  <r>
    <x v="4"/>
    <x v="1"/>
    <x v="4"/>
    <s v="CUST_ID_010"/>
    <s v="PROD_ID_005"/>
    <x v="9"/>
    <s v="Medium"/>
    <d v="2020-05-29T00:00:00"/>
    <x v="10"/>
    <x v="2"/>
    <x v="0"/>
    <n v="1.339"/>
    <s v="4.00"/>
    <s v="18.00"/>
    <n v="24.102"/>
    <n v="1.2050000000000001"/>
    <n v="22.896999999999998"/>
    <d v="1972-12-01T00:00:00"/>
    <n v="5.3559999999999999"/>
    <n v="17.541"/>
  </r>
  <r>
    <x v="3"/>
    <x v="4"/>
    <x v="4"/>
    <s v="CUST_ID_021"/>
    <s v="PROD_ID_005"/>
    <x v="20"/>
    <s v="Medium"/>
    <d v="2020-08-09T00:00:00"/>
    <x v="2"/>
    <x v="0"/>
    <x v="0"/>
    <n v="1.8759999999999999"/>
    <s v="4.00"/>
    <s v="30.00"/>
    <n v="56.28"/>
    <n v="2.8140000000000001"/>
    <n v="53.466000000000001"/>
    <s v="29.70"/>
    <n v="7.5039999999999996"/>
    <n v="45.962000000000003"/>
  </r>
  <r>
    <x v="2"/>
    <x v="5"/>
    <x v="4"/>
    <s v="CUST_ID_134"/>
    <s v="PROD_ID_005"/>
    <x v="49"/>
    <s v="Medium"/>
    <d v="2021-12-23T00:00:00"/>
    <x v="7"/>
    <x v="3"/>
    <x v="1"/>
    <n v="1.1890000000000001"/>
    <s v="4.00"/>
    <s v="450.00"/>
    <n v="535.04999999999995"/>
    <n v="26.753"/>
    <n v="508.298"/>
    <s v="282.44"/>
    <n v="4.7560000000000002"/>
    <n v="503.54199999999997"/>
  </r>
  <r>
    <x v="1"/>
    <x v="3"/>
    <x v="4"/>
    <s v="CUST_ID_108"/>
    <s v="PROD_ID_005"/>
    <x v="79"/>
    <s v="Medium"/>
    <d v="2020-09-06T00:00:00"/>
    <x v="0"/>
    <x v="0"/>
    <x v="0"/>
    <n v="3.3490000000000002"/>
    <s v="4.00"/>
    <s v="23.00"/>
    <n v="77.027000000000001"/>
    <n v="3.851"/>
    <n v="73.176000000000002"/>
    <s v="39.77"/>
    <n v="13.396000000000001"/>
    <n v="59.78"/>
  </r>
  <r>
    <x v="3"/>
    <x v="0"/>
    <x v="4"/>
    <s v="CUST_ID_057"/>
    <s v="PROD_ID_005"/>
    <x v="56"/>
    <s v="Medium"/>
    <d v="2020-04-05T00:00:00"/>
    <x v="5"/>
    <x v="2"/>
    <x v="0"/>
    <n v="684"/>
    <s v="4.00"/>
    <s v="11.00"/>
    <n v="7.524"/>
    <n v="376"/>
    <n v="7.1479999999999997"/>
    <d v="1979-03-01T00:00:00"/>
    <n v="2.7360000000000002"/>
    <n v="4.4119999999999999"/>
  </r>
  <r>
    <x v="3"/>
    <x v="4"/>
    <x v="4"/>
    <s v="CUST_ID_021"/>
    <s v="PROD_ID_005"/>
    <x v="20"/>
    <s v="Medium"/>
    <d v="2021-08-08T00:00:00"/>
    <x v="2"/>
    <x v="0"/>
    <x v="1"/>
    <n v="2.984"/>
    <s v="4.00"/>
    <s v="11.00"/>
    <n v="32.823999999999998"/>
    <n v="1.641"/>
    <n v="31.183"/>
    <s v="16.54"/>
    <n v="11.936"/>
    <n v="19.247"/>
  </r>
  <r>
    <x v="3"/>
    <x v="2"/>
    <x v="0"/>
    <s v="CUST_ID_059"/>
    <s v="PROD_ID_001"/>
    <x v="58"/>
    <s v="Medium"/>
    <d v="2020-06-24T00:00:00"/>
    <x v="11"/>
    <x v="2"/>
    <x v="0"/>
    <n v="1.661"/>
    <s v="6.00"/>
    <s v="525.00"/>
    <n v="872.02499999999998"/>
    <n v="43.600999999999999"/>
    <n v="828.42399999999998"/>
    <s v="460.35"/>
    <n v="9.9659999999999993"/>
    <n v="818.45799999999997"/>
  </r>
  <r>
    <x v="0"/>
    <x v="4"/>
    <x v="0"/>
    <s v="CUST_ID_013"/>
    <s v="PROD_ID_001"/>
    <x v="12"/>
    <s v="Medium"/>
    <d v="2020-06-06T00:00:00"/>
    <x v="11"/>
    <x v="2"/>
    <x v="0"/>
    <n v="4.3520000000000003"/>
    <s v="6.00"/>
    <s v="188.00"/>
    <n v="818.17600000000004"/>
    <n v="40.908999999999999"/>
    <n v="777.26700000000005"/>
    <s v="430.71"/>
    <n v="26.111999999999998"/>
    <n v="751.15499999999997"/>
  </r>
  <r>
    <x v="4"/>
    <x v="6"/>
    <x v="0"/>
    <s v="CUST_ID_111"/>
    <s v="PROD_ID_001"/>
    <x v="50"/>
    <s v="Medium"/>
    <d v="2020-08-24T00:00:00"/>
    <x v="2"/>
    <x v="0"/>
    <x v="0"/>
    <n v="2.81"/>
    <s v="6.00"/>
    <s v="18.00"/>
    <n v="50.58"/>
    <n v="2.5289999999999999"/>
    <n v="48.051000000000002"/>
    <s v="26.70"/>
    <n v="16.86"/>
    <n v="31.190999999999999"/>
  </r>
  <r>
    <x v="3"/>
    <x v="3"/>
    <x v="1"/>
    <s v="CUST_ID_052"/>
    <s v="PROD_ID_002"/>
    <x v="51"/>
    <s v="Medium"/>
    <d v="2021-11-23T00:00:00"/>
    <x v="6"/>
    <x v="3"/>
    <x v="1"/>
    <n v="1.5640000000000001"/>
    <s v="12.00"/>
    <s v="30.00"/>
    <n v="46.92"/>
    <n v="2.3460000000000001"/>
    <n v="44.573999999999998"/>
    <s v="24.76"/>
    <n v="18.768000000000001"/>
    <n v="25.806000000000001"/>
  </r>
  <r>
    <x v="0"/>
    <x v="2"/>
    <x v="1"/>
    <s v="CUST_ID_115"/>
    <s v="PROD_ID_002"/>
    <x v="84"/>
    <s v="Medium"/>
    <d v="2021-05-16T00:00:00"/>
    <x v="10"/>
    <x v="2"/>
    <x v="1"/>
    <n v="3.59"/>
    <s v="12.00"/>
    <s v="188.00"/>
    <n v="674.92"/>
    <n v="33.746000000000002"/>
    <n v="641.17399999999998"/>
    <s v="355.30"/>
    <n v="43.08"/>
    <n v="598.09400000000005"/>
  </r>
  <r>
    <x v="0"/>
    <x v="2"/>
    <x v="1"/>
    <s v="CUST_ID_051"/>
    <s v="PROD_ID_002"/>
    <x v="50"/>
    <s v="Medium"/>
    <d v="2020-01-13T00:00:00"/>
    <x v="1"/>
    <x v="1"/>
    <x v="0"/>
    <n v="2.8620000000000001"/>
    <s v="12.00"/>
    <s v="188.00"/>
    <n v="538.05600000000004"/>
    <n v="26.902999999999999"/>
    <n v="511.15300000000002"/>
    <s v="283.22"/>
    <n v="34.344000000000001"/>
    <n v="476.80900000000003"/>
  </r>
  <r>
    <x v="2"/>
    <x v="2"/>
    <x v="1"/>
    <s v="CUST_ID_003"/>
    <s v="PROD_ID_002"/>
    <x v="2"/>
    <s v="Medium"/>
    <d v="2020-03-03T00:00:00"/>
    <x v="8"/>
    <x v="1"/>
    <x v="0"/>
    <n v="1.9279999999999999"/>
    <s v="12.00"/>
    <s v="450.00"/>
    <n v="867.6"/>
    <n v="43.38"/>
    <n v="824.22"/>
    <s v="458.00"/>
    <n v="23.135999999999999"/>
    <n v="801.08399999999995"/>
  </r>
  <r>
    <x v="3"/>
    <x v="2"/>
    <x v="1"/>
    <s v="CUST_ID_027"/>
    <s v="PROD_ID_002"/>
    <x v="26"/>
    <s v="Medium"/>
    <d v="2021-03-25T00:00:00"/>
    <x v="8"/>
    <x v="1"/>
    <x v="1"/>
    <n v="2.7919999999999998"/>
    <s v="12.00"/>
    <s v="11.00"/>
    <n v="30.712"/>
    <n v="1.536"/>
    <n v="29.175999999999998"/>
    <s v="15.47"/>
    <n v="33.503999999999998"/>
    <n v="-4.3280000000000003"/>
  </r>
  <r>
    <x v="2"/>
    <x v="3"/>
    <x v="1"/>
    <s v="CUST_ID_116"/>
    <s v="PROD_ID_002"/>
    <x v="85"/>
    <s v="Medium"/>
    <d v="2020-10-07T00:00:00"/>
    <x v="9"/>
    <x v="3"/>
    <x v="0"/>
    <n v="1.1890000000000001"/>
    <s v="12.00"/>
    <s v="450.00"/>
    <n v="535.04999999999995"/>
    <n v="26.753"/>
    <n v="508.298"/>
    <s v="282.44"/>
    <n v="14.268000000000001"/>
    <n v="494.03"/>
  </r>
  <r>
    <x v="3"/>
    <x v="2"/>
    <x v="1"/>
    <s v="CUST_ID_027"/>
    <s v="PROD_ID_002"/>
    <x v="26"/>
    <s v="Medium"/>
    <d v="2021-11-21T00:00:00"/>
    <x v="6"/>
    <x v="3"/>
    <x v="1"/>
    <n v="722"/>
    <s v="12.00"/>
    <s v="525.00"/>
    <n v="379.05"/>
    <n v="18.952999999999999"/>
    <n v="360.09800000000001"/>
    <s v="200.17"/>
    <n v="8.6639999999999997"/>
    <n v="351.43400000000003"/>
  </r>
  <r>
    <x v="1"/>
    <x v="1"/>
    <x v="1"/>
    <s v="CUST_ID_002"/>
    <s v="PROD_ID_002"/>
    <x v="1"/>
    <s v="Medium"/>
    <d v="2020-01-31T00:00:00"/>
    <x v="1"/>
    <x v="1"/>
    <x v="0"/>
    <n v="3.1440000000000001"/>
    <s v="12.00"/>
    <s v="23.00"/>
    <n v="72.311999999999998"/>
    <n v="3.6160000000000001"/>
    <n v="68.695999999999998"/>
    <s v="37.34"/>
    <n v="37.728000000000002"/>
    <n v="30.968"/>
  </r>
  <r>
    <x v="0"/>
    <x v="2"/>
    <x v="1"/>
    <s v="CUST_ID_115"/>
    <s v="PROD_ID_002"/>
    <x v="84"/>
    <s v="Medium"/>
    <d v="2020-07-17T00:00:00"/>
    <x v="3"/>
    <x v="0"/>
    <x v="0"/>
    <n v="1.0329999999999999"/>
    <s v="12.00"/>
    <s v="188.00"/>
    <n v="194.20400000000001"/>
    <n v="9.7100000000000009"/>
    <n v="184.494"/>
    <s v="102.24"/>
    <n v="12.396000000000001"/>
    <n v="172.09800000000001"/>
  </r>
  <r>
    <x v="3"/>
    <x v="2"/>
    <x v="1"/>
    <s v="CUST_ID_027"/>
    <s v="PROD_ID_002"/>
    <x v="26"/>
    <s v="Medium"/>
    <d v="2020-01-20T00:00:00"/>
    <x v="1"/>
    <x v="1"/>
    <x v="0"/>
    <n v="3.1960000000000002"/>
    <s v="12.00"/>
    <s v="30.00"/>
    <n v="95.88"/>
    <n v="4.7939999999999996"/>
    <n v="91.085999999999999"/>
    <s v="50.60"/>
    <n v="38.351999999999997"/>
    <n v="52.734000000000002"/>
  </r>
  <r>
    <x v="1"/>
    <x v="6"/>
    <x v="2"/>
    <s v="CUST_ID_135"/>
    <s v="PROD_ID_003"/>
    <x v="50"/>
    <s v="Medium"/>
    <d v="2020-10-03T00:00:00"/>
    <x v="9"/>
    <x v="3"/>
    <x v="0"/>
    <n v="666"/>
    <s v="148.00"/>
    <s v="23.00"/>
    <n v="15.318"/>
    <n v="766"/>
    <n v="14.552"/>
    <d v="1991-07-01T00:00:00"/>
    <n v="98.567999999999998"/>
    <n v="-84.016000000000005"/>
  </r>
  <r>
    <x v="1"/>
    <x v="2"/>
    <x v="2"/>
    <s v="CUST_ID_091"/>
    <s v="PROD_ID_003"/>
    <x v="84"/>
    <s v="Medium"/>
    <d v="2021-07-20T00:00:00"/>
    <x v="3"/>
    <x v="0"/>
    <x v="1"/>
    <n v="3.4329999999999998"/>
    <s v="148.00"/>
    <s v="23.00"/>
    <n v="78.959000000000003"/>
    <n v="3.948"/>
    <n v="75.010999999999996"/>
    <s v="40.77"/>
    <n v="508.084"/>
    <n v="-433.07299999999998"/>
  </r>
  <r>
    <x v="0"/>
    <x v="4"/>
    <x v="2"/>
    <s v="CUST_ID_029"/>
    <s v="PROD_ID_003"/>
    <x v="28"/>
    <s v="Medium"/>
    <d v="2021-10-07T00:00:00"/>
    <x v="9"/>
    <x v="3"/>
    <x v="1"/>
    <n v="968"/>
    <s v="148.00"/>
    <s v="188.00"/>
    <n v="181.98400000000001"/>
    <n v="9.0990000000000002"/>
    <n v="172.88499999999999"/>
    <s v="95.83"/>
    <n v="143.26400000000001"/>
    <n v="29.620999999999999"/>
  </r>
  <r>
    <x v="3"/>
    <x v="0"/>
    <x v="2"/>
    <s v="CUST_ID_041"/>
    <s v="PROD_ID_003"/>
    <x v="40"/>
    <s v="Medium"/>
    <d v="2021-01-23T00:00:00"/>
    <x v="1"/>
    <x v="1"/>
    <x v="1"/>
    <n v="722"/>
    <s v="148.00"/>
    <s v="525.00"/>
    <n v="379.05"/>
    <n v="18.952999999999999"/>
    <n v="360.09800000000001"/>
    <s v="200.17"/>
    <n v="106.85599999999999"/>
    <n v="253.24199999999999"/>
  </r>
  <r>
    <x v="3"/>
    <x v="0"/>
    <x v="2"/>
    <s v="CUST_ID_041"/>
    <s v="PROD_ID_003"/>
    <x v="40"/>
    <s v="Medium"/>
    <d v="2020-12-10T00:00:00"/>
    <x v="7"/>
    <x v="3"/>
    <x v="0"/>
    <n v="3.3980000000000001"/>
    <s v="148.00"/>
    <s v="30.00"/>
    <n v="101.94"/>
    <n v="5.0970000000000004"/>
    <n v="96.843000000000004"/>
    <s v="53.81"/>
    <n v="502.904"/>
    <n v="-406.06099999999998"/>
  </r>
  <r>
    <x v="3"/>
    <x v="5"/>
    <x v="2"/>
    <s v="CUST_ID_054"/>
    <s v="PROD_ID_003"/>
    <x v="53"/>
    <s v="Medium"/>
    <d v="2021-11-13T00:00:00"/>
    <x v="6"/>
    <x v="3"/>
    <x v="1"/>
    <n v="1.895"/>
    <s v="148.00"/>
    <s v="30.00"/>
    <n v="56.85"/>
    <n v="2.843"/>
    <n v="54.008000000000003"/>
    <s v="30.00"/>
    <n v="280.45999999999998"/>
    <n v="-226.453"/>
  </r>
  <r>
    <x v="0"/>
    <x v="6"/>
    <x v="2"/>
    <s v="CUST_ID_015"/>
    <s v="PROD_ID_003"/>
    <x v="14"/>
    <s v="Medium"/>
    <d v="2021-04-27T00:00:00"/>
    <x v="5"/>
    <x v="2"/>
    <x v="1"/>
    <n v="1.0329999999999999"/>
    <s v="148.00"/>
    <s v="188.00"/>
    <n v="194.20400000000001"/>
    <n v="9.7100000000000009"/>
    <n v="184.494"/>
    <s v="102.24"/>
    <n v="152.88399999999999"/>
    <n v="31.61"/>
  </r>
  <r>
    <x v="2"/>
    <x v="5"/>
    <x v="2"/>
    <s v="CUST_ID_102"/>
    <s v="PROD_ID_003"/>
    <x v="90"/>
    <s v="Medium"/>
    <d v="2021-05-25T00:00:00"/>
    <x v="10"/>
    <x v="2"/>
    <x v="1"/>
    <n v="1.5"/>
    <s v="148.00"/>
    <s v="450.00"/>
    <n v="675"/>
    <n v="33.75"/>
    <n v="641.25"/>
    <s v="356.25"/>
    <n v="222"/>
    <n v="419.25"/>
  </r>
  <r>
    <x v="3"/>
    <x v="0"/>
    <x v="3"/>
    <s v="CUST_ID_033"/>
    <s v="PROD_ID_004"/>
    <x v="32"/>
    <s v="Medium"/>
    <d v="2021-08-16T00:00:00"/>
    <x v="2"/>
    <x v="0"/>
    <x v="1"/>
    <n v="3.1960000000000002"/>
    <s v="308.00"/>
    <s v="30.00"/>
    <n v="95.88"/>
    <n v="4.7939999999999996"/>
    <n v="91.085999999999999"/>
    <s v="50.60"/>
    <n v="984.36800000000005"/>
    <n v="-893.28200000000004"/>
  </r>
  <r>
    <x v="3"/>
    <x v="0"/>
    <x v="3"/>
    <s v="CUST_ID_033"/>
    <s v="PROD_ID_004"/>
    <x v="32"/>
    <s v="Medium"/>
    <d v="2021-10-24T00:00:00"/>
    <x v="9"/>
    <x v="3"/>
    <x v="1"/>
    <n v="684"/>
    <s v="308.00"/>
    <s v="11.00"/>
    <n v="7.524"/>
    <n v="376"/>
    <n v="7.1479999999999997"/>
    <d v="1979-03-01T00:00:00"/>
    <n v="210.672"/>
    <n v="-203.524"/>
  </r>
  <r>
    <x v="3"/>
    <x v="7"/>
    <x v="3"/>
    <s v="CUST_ID_008"/>
    <s v="PROD_ID_004"/>
    <x v="7"/>
    <s v="Medium"/>
    <d v="2021-03-27T00:00:00"/>
    <x v="8"/>
    <x v="1"/>
    <x v="1"/>
    <n v="2.984"/>
    <s v="308.00"/>
    <s v="11.00"/>
    <n v="32.823999999999998"/>
    <n v="1.641"/>
    <n v="31.183"/>
    <s v="16.54"/>
    <n v="919.072"/>
    <n v="-887.88900000000001"/>
  </r>
  <r>
    <x v="3"/>
    <x v="2"/>
    <x v="5"/>
    <s v="CUST_ID_035"/>
    <s v="PROD_ID_006"/>
    <x v="34"/>
    <s v="Medium"/>
    <d v="2021-12-18T00:00:00"/>
    <x v="7"/>
    <x v="3"/>
    <x v="1"/>
    <n v="1.62"/>
    <s v="320.00"/>
    <s v="525.00"/>
    <n v="850.5"/>
    <n v="42.524999999999999"/>
    <n v="807.97500000000002"/>
    <s v="448.88"/>
    <n v="518.4"/>
    <n v="289.57499999999999"/>
  </r>
  <r>
    <x v="3"/>
    <x v="6"/>
    <x v="5"/>
    <s v="CUST_ID_047"/>
    <s v="PROD_ID_006"/>
    <x v="46"/>
    <s v="Medium"/>
    <d v="2020-08-29T00:00:00"/>
    <x v="2"/>
    <x v="0"/>
    <x v="0"/>
    <n v="662"/>
    <s v="320.00"/>
    <s v="525.00"/>
    <n v="347.55"/>
    <n v="17.378"/>
    <n v="330.173"/>
    <s v="183.54"/>
    <n v="211.84"/>
    <n v="118.333"/>
  </r>
  <r>
    <x v="2"/>
    <x v="5"/>
    <x v="5"/>
    <s v="CUST_ID_126"/>
    <s v="PROD_ID_006"/>
    <x v="90"/>
    <s v="Medium"/>
    <d v="2021-08-15T00:00:00"/>
    <x v="2"/>
    <x v="0"/>
    <x v="1"/>
    <n v="1.5"/>
    <s v="320.00"/>
    <s v="450.00"/>
    <n v="675"/>
    <n v="33.75"/>
    <n v="641.25"/>
    <s v="356.25"/>
    <n v="480"/>
    <n v="161.25"/>
  </r>
  <r>
    <x v="1"/>
    <x v="1"/>
    <x v="1"/>
    <s v="CUST_ID_002"/>
    <s v="PROD_ID_002"/>
    <x v="1"/>
    <s v="Medium"/>
    <d v="2021-03-19T00:00:00"/>
    <x v="8"/>
    <x v="1"/>
    <x v="1"/>
    <n v="4.5609999999999999"/>
    <s v="12.00"/>
    <s v="23.00"/>
    <n v="104.90300000000001"/>
    <n v="6.2939999999999996"/>
    <n v="98.608999999999995"/>
    <s v="53.59"/>
    <n v="54.731999999999999"/>
    <n v="43.877000000000002"/>
  </r>
  <r>
    <x v="3"/>
    <x v="0"/>
    <x v="4"/>
    <s v="CUST_ID_057"/>
    <s v="PROD_ID_005"/>
    <x v="56"/>
    <s v="Medium"/>
    <d v="2020-06-12T00:00:00"/>
    <x v="11"/>
    <x v="2"/>
    <x v="0"/>
    <n v="1.341"/>
    <s v="4.00"/>
    <s v="30.00"/>
    <n v="40.229999999999997"/>
    <n v="2.4140000000000001"/>
    <n v="37.816000000000003"/>
    <d v="2025-01-21T00:00:00"/>
    <n v="5.3639999999999999"/>
    <n v="32.451999999999998"/>
  </r>
  <r>
    <x v="1"/>
    <x v="1"/>
    <x v="4"/>
    <s v="CUST_ID_090"/>
    <s v="PROD_ID_005"/>
    <x v="83"/>
    <s v="Medium"/>
    <d v="2020-07-27T00:00:00"/>
    <x v="3"/>
    <x v="0"/>
    <x v="0"/>
    <n v="3.4129999999999998"/>
    <s v="4.00"/>
    <s v="23.00"/>
    <n v="78.498999999999995"/>
    <n v="4.71"/>
    <n v="73.789000000000001"/>
    <s v="40.10"/>
    <n v="13.651999999999999"/>
    <n v="60.137"/>
  </r>
  <r>
    <x v="4"/>
    <x v="4"/>
    <x v="4"/>
    <s v="CUST_ID_077"/>
    <s v="PROD_ID_005"/>
    <x v="74"/>
    <s v="Medium"/>
    <d v="2020-11-23T00:00:00"/>
    <x v="6"/>
    <x v="3"/>
    <x v="0"/>
    <n v="674"/>
    <s v="4.00"/>
    <s v="18.00"/>
    <n v="12.132"/>
    <n v="728"/>
    <n v="11.404"/>
    <d v="1934-06-01T00:00:00"/>
    <n v="2.6960000000000002"/>
    <n v="8.7080000000000002"/>
  </r>
  <r>
    <x v="1"/>
    <x v="7"/>
    <x v="4"/>
    <s v="CUST_ID_136"/>
    <s v="PROD_ID_005"/>
    <x v="81"/>
    <s v="Medium"/>
    <d v="2020-07-26T00:00:00"/>
    <x v="3"/>
    <x v="0"/>
    <x v="0"/>
    <n v="2.4359999999999999"/>
    <s v="4.00"/>
    <s v="23.00"/>
    <n v="56.027999999999999"/>
    <n v="3.3620000000000001"/>
    <n v="52.665999999999997"/>
    <s v="28.62"/>
    <n v="9.7439999999999998"/>
    <n v="42.921999999999997"/>
  </r>
  <r>
    <x v="3"/>
    <x v="0"/>
    <x v="0"/>
    <s v="CUST_ID_049"/>
    <s v="PROD_ID_001"/>
    <x v="48"/>
    <s v="Medium"/>
    <d v="2021-07-15T00:00:00"/>
    <x v="3"/>
    <x v="0"/>
    <x v="1"/>
    <n v="1.1759999999999999"/>
    <s v="6.00"/>
    <s v="525.00"/>
    <n v="617.4"/>
    <n v="37.043999999999997"/>
    <n v="580.35599999999999"/>
    <s v="322.42"/>
    <n v="7.056"/>
    <n v="573.29999999999995"/>
  </r>
  <r>
    <x v="3"/>
    <x v="4"/>
    <x v="0"/>
    <s v="CUST_ID_037"/>
    <s v="PROD_ID_001"/>
    <x v="36"/>
    <s v="Medium"/>
    <d v="2021-05-17T00:00:00"/>
    <x v="10"/>
    <x v="2"/>
    <x v="1"/>
    <n v="1.752"/>
    <s v="6.00"/>
    <s v="525.00"/>
    <n v="919.8"/>
    <n v="55.188000000000002"/>
    <n v="864.61199999999997"/>
    <s v="480.34"/>
    <n v="10.512"/>
    <n v="854.1"/>
  </r>
  <r>
    <x v="4"/>
    <x v="6"/>
    <x v="0"/>
    <s v="CUST_ID_119"/>
    <s v="PROD_ID_001"/>
    <x v="87"/>
    <s v="Medium"/>
    <d v="2021-11-20T00:00:00"/>
    <x v="6"/>
    <x v="3"/>
    <x v="1"/>
    <n v="3.2679999999999998"/>
    <s v="6.00"/>
    <s v="18.00"/>
    <n v="58.823999999999998"/>
    <n v="3.5289999999999999"/>
    <n v="55.295000000000002"/>
    <s v="30.72"/>
    <n v="19.608000000000001"/>
    <n v="35.686999999999998"/>
  </r>
  <r>
    <x v="3"/>
    <x v="3"/>
    <x v="1"/>
    <s v="CUST_ID_052"/>
    <s v="PROD_ID_002"/>
    <x v="51"/>
    <s v="Medium"/>
    <d v="2020-03-01T00:00:00"/>
    <x v="8"/>
    <x v="1"/>
    <x v="0"/>
    <n v="1.7949999999999999"/>
    <s v="12.00"/>
    <s v="525.00"/>
    <n v="942.375"/>
    <n v="56.542999999999999"/>
    <n v="885.83299999999997"/>
    <s v="492.18"/>
    <n v="21.54"/>
    <n v="864.29300000000001"/>
  </r>
  <r>
    <x v="0"/>
    <x v="6"/>
    <x v="2"/>
    <s v="CUST_ID_007"/>
    <s v="PROD_ID_003"/>
    <x v="6"/>
    <s v="Medium"/>
    <d v="2021-11-11T00:00:00"/>
    <x v="6"/>
    <x v="3"/>
    <x v="1"/>
    <n v="1.1419999999999999"/>
    <s v="148.00"/>
    <s v="188.00"/>
    <n v="214.696"/>
    <n v="12.882"/>
    <n v="201.81399999999999"/>
    <s v="111.86"/>
    <n v="169.01599999999999"/>
    <n v="32.798000000000002"/>
  </r>
  <r>
    <x v="0"/>
    <x v="6"/>
    <x v="2"/>
    <s v="CUST_ID_015"/>
    <s v="PROD_ID_003"/>
    <x v="14"/>
    <s v="Medium"/>
    <d v="2020-08-17T00:00:00"/>
    <x v="2"/>
    <x v="0"/>
    <x v="0"/>
    <n v="3.306"/>
    <s v="148.00"/>
    <s v="188.00"/>
    <n v="621.52800000000002"/>
    <n v="37.292000000000002"/>
    <n v="584.23599999999999"/>
    <s v="323.71"/>
    <n v="489.28800000000001"/>
    <n v="94.947999999999993"/>
  </r>
  <r>
    <x v="1"/>
    <x v="7"/>
    <x v="2"/>
    <s v="CUST_ID_096"/>
    <s v="PROD_ID_003"/>
    <x v="88"/>
    <s v="Medium"/>
    <d v="2021-08-24T00:00:00"/>
    <x v="2"/>
    <x v="0"/>
    <x v="1"/>
    <n v="1.8360000000000001"/>
    <s v="148.00"/>
    <s v="23.00"/>
    <n v="42.228000000000002"/>
    <n v="2.5339999999999998"/>
    <n v="39.694000000000003"/>
    <s v="21.57"/>
    <n v="271.72800000000001"/>
    <n v="-232.03399999999999"/>
  </r>
  <r>
    <x v="3"/>
    <x v="5"/>
    <x v="2"/>
    <s v="CUST_ID_054"/>
    <s v="PROD_ID_003"/>
    <x v="53"/>
    <s v="Medium"/>
    <d v="2020-05-14T00:00:00"/>
    <x v="10"/>
    <x v="2"/>
    <x v="0"/>
    <n v="1.7949999999999999"/>
    <s v="148.00"/>
    <s v="525.00"/>
    <n v="942.375"/>
    <n v="56.542999999999999"/>
    <n v="885.83299999999997"/>
    <s v="492.18"/>
    <n v="265.66000000000003"/>
    <n v="620.173"/>
  </r>
  <r>
    <x v="3"/>
    <x v="6"/>
    <x v="2"/>
    <s v="CUST_ID_031"/>
    <s v="PROD_ID_003"/>
    <x v="30"/>
    <s v="Medium"/>
    <d v="2021-01-11T00:00:00"/>
    <x v="1"/>
    <x v="1"/>
    <x v="1"/>
    <n v="1.798"/>
    <s v="148.00"/>
    <s v="11.00"/>
    <n v="19.777999999999999"/>
    <n v="1.1870000000000001"/>
    <n v="18.591000000000001"/>
    <d v="1986-09-01T00:00:00"/>
    <n v="266.10399999999998"/>
    <n v="-247.51300000000001"/>
  </r>
  <r>
    <x v="1"/>
    <x v="0"/>
    <x v="3"/>
    <s v="CUST_ID_137"/>
    <s v="PROD_ID_004"/>
    <x v="82"/>
    <s v="Medium"/>
    <d v="2020-11-21T00:00:00"/>
    <x v="6"/>
    <x v="3"/>
    <x v="0"/>
    <n v="3.4129999999999998"/>
    <s v="308.00"/>
    <s v="23.00"/>
    <n v="78.498999999999995"/>
    <n v="4.71"/>
    <n v="73.789000000000001"/>
    <s v="40.10"/>
    <s v="1,051,204"/>
    <n v="-977.41499999999996"/>
  </r>
  <r>
    <x v="3"/>
    <x v="1"/>
    <x v="3"/>
    <s v="CUST_ID_034"/>
    <s v="PROD_ID_004"/>
    <x v="33"/>
    <s v="Medium"/>
    <d v="2020-03-15T00:00:00"/>
    <x v="8"/>
    <x v="1"/>
    <x v="0"/>
    <n v="1.798"/>
    <s v="308.00"/>
    <s v="11.00"/>
    <n v="19.777999999999999"/>
    <n v="1.1870000000000001"/>
    <n v="18.591000000000001"/>
    <d v="1986-09-01T00:00:00"/>
    <n v="553.78399999999999"/>
    <n v="-535.19299999999998"/>
  </r>
  <r>
    <x v="0"/>
    <x v="1"/>
    <x v="5"/>
    <s v="CUST_ID_138"/>
    <s v="PROD_ID_006"/>
    <x v="83"/>
    <s v="Medium"/>
    <d v="2021-06-28T00:00:00"/>
    <x v="11"/>
    <x v="2"/>
    <x v="1"/>
    <n v="2.3849999999999998"/>
    <s v="320.00"/>
    <s v="188.00"/>
    <n v="448.38"/>
    <n v="26.902999999999999"/>
    <n v="421.47699999999998"/>
    <s v="233.53"/>
    <n v="763.2"/>
    <n v="-341.72300000000001"/>
  </r>
  <r>
    <x v="3"/>
    <x v="4"/>
    <x v="5"/>
    <s v="CUST_ID_093"/>
    <s v="PROD_ID_006"/>
    <x v="56"/>
    <s v="Medium"/>
    <d v="2020-11-18T00:00:00"/>
    <x v="6"/>
    <x v="3"/>
    <x v="0"/>
    <n v="2.0150000000000001"/>
    <s v="320.00"/>
    <s v="525.00"/>
    <s v="1,057,875"/>
    <n v="63.472999999999999"/>
    <n v="994.40300000000002"/>
    <s v="552.39"/>
    <n v="644.79999999999995"/>
    <n v="349.60300000000001"/>
  </r>
  <r>
    <x v="1"/>
    <x v="1"/>
    <x v="1"/>
    <s v="CUST_ID_026"/>
    <s v="PROD_ID_002"/>
    <x v="25"/>
    <s v="Medium"/>
    <d v="2021-10-20T00:00:00"/>
    <x v="9"/>
    <x v="3"/>
    <x v="1"/>
    <n v="2.6379999999999999"/>
    <s v="12.00"/>
    <s v="23.00"/>
    <n v="60.673999999999999"/>
    <n v="3.64"/>
    <n v="57.033999999999999"/>
    <s v="30.99"/>
    <n v="31.655999999999999"/>
    <n v="25.378"/>
  </r>
  <r>
    <x v="1"/>
    <x v="5"/>
    <x v="1"/>
    <s v="CUST_ID_038"/>
    <s v="PROD_ID_002"/>
    <x v="37"/>
    <s v="Medium"/>
    <d v="2021-03-16T00:00:00"/>
    <x v="8"/>
    <x v="1"/>
    <x v="1"/>
    <n v="2.0920000000000001"/>
    <s v="12.00"/>
    <s v="23.00"/>
    <n v="48.116"/>
    <n v="2.887"/>
    <n v="45.228999999999999"/>
    <s v="24.58"/>
    <n v="25.103999999999999"/>
    <n v="20.125"/>
  </r>
  <r>
    <x v="1"/>
    <x v="1"/>
    <x v="1"/>
    <s v="CUST_ID_026"/>
    <s v="PROD_ID_002"/>
    <x v="25"/>
    <s v="Medium"/>
    <d v="2020-11-18T00:00:00"/>
    <x v="6"/>
    <x v="3"/>
    <x v="0"/>
    <n v="1.3839999999999999"/>
    <s v="12.00"/>
    <s v="23.00"/>
    <n v="31.832000000000001"/>
    <n v="1.91"/>
    <n v="29.922000000000001"/>
    <s v="16.26"/>
    <n v="16.608000000000001"/>
    <n v="13.314"/>
  </r>
  <r>
    <x v="3"/>
    <x v="3"/>
    <x v="2"/>
    <s v="CUST_ID_028"/>
    <s v="PROD_ID_003"/>
    <x v="27"/>
    <s v="Medium"/>
    <d v="2021-11-30T00:00:00"/>
    <x v="6"/>
    <x v="3"/>
    <x v="1"/>
    <n v="1.2010000000000001"/>
    <s v="148.00"/>
    <s v="30.00"/>
    <n v="36.03"/>
    <n v="2.1619999999999999"/>
    <n v="33.868000000000002"/>
    <s v="18.82"/>
    <n v="177.74799999999999"/>
    <n v="-143.88"/>
  </r>
  <r>
    <x v="3"/>
    <x v="6"/>
    <x v="2"/>
    <s v="CUST_ID_031"/>
    <s v="PROD_ID_003"/>
    <x v="30"/>
    <s v="Medium"/>
    <d v="2020-06-17T00:00:00"/>
    <x v="11"/>
    <x v="2"/>
    <x v="0"/>
    <n v="1.6"/>
    <s v="148.00"/>
    <s v="11.00"/>
    <n v="17.600000000000001"/>
    <n v="1.056"/>
    <n v="16.544"/>
    <d v="1977-08-01T00:00:00"/>
    <n v="236.8"/>
    <n v="-220.256"/>
  </r>
  <r>
    <x v="1"/>
    <x v="2"/>
    <x v="3"/>
    <s v="CUST_ID_139"/>
    <s v="PROD_ID_004"/>
    <x v="84"/>
    <s v="Medium"/>
    <d v="2021-10-13T00:00:00"/>
    <x v="9"/>
    <x v="3"/>
    <x v="1"/>
    <n v="1.3839999999999999"/>
    <s v="308.00"/>
    <s v="23.00"/>
    <n v="31.832000000000001"/>
    <n v="1.91"/>
    <n v="29.922000000000001"/>
    <s v="16.26"/>
    <n v="426.27199999999999"/>
    <n v="-396.35"/>
  </r>
  <r>
    <x v="4"/>
    <x v="4"/>
    <x v="4"/>
    <s v="CUST_ID_077"/>
    <s v="PROD_ID_005"/>
    <x v="74"/>
    <s v="Medium"/>
    <d v="2021-08-20T00:00:00"/>
    <x v="2"/>
    <x v="0"/>
    <x v="1"/>
    <n v="872"/>
    <s v="4.00"/>
    <s v="18.00"/>
    <n v="15.696"/>
    <n v="1.099"/>
    <n v="14.597"/>
    <d v="2025-11-08T00:00:00"/>
    <n v="3.488"/>
    <n v="11.109"/>
  </r>
  <r>
    <x v="4"/>
    <x v="3"/>
    <x v="4"/>
    <s v="CUST_ID_036"/>
    <s v="PROD_ID_005"/>
    <x v="35"/>
    <s v="Medium"/>
    <d v="2020-04-24T00:00:00"/>
    <x v="5"/>
    <x v="2"/>
    <x v="0"/>
    <n v="2.2610000000000001"/>
    <s v="4.00"/>
    <s v="18.00"/>
    <n v="40.698"/>
    <n v="2.8490000000000002"/>
    <n v="37.848999999999997"/>
    <d v="2025-03-21T00:00:00"/>
    <n v="9.0440000000000005"/>
    <n v="28.805"/>
  </r>
  <r>
    <x v="4"/>
    <x v="7"/>
    <x v="0"/>
    <s v="CUST_ID_120"/>
    <s v="PROD_ID_001"/>
    <x v="69"/>
    <s v="Medium"/>
    <d v="2021-03-08T00:00:00"/>
    <x v="8"/>
    <x v="1"/>
    <x v="1"/>
    <n v="2.8079999999999998"/>
    <s v="6.00"/>
    <s v="18.00"/>
    <n v="50.543999999999997"/>
    <n v="3.5379999999999998"/>
    <n v="47.006"/>
    <d v="2025-11-26T00:00:00"/>
    <n v="16.847999999999999"/>
    <n v="30.158000000000001"/>
  </r>
  <r>
    <x v="4"/>
    <x v="0"/>
    <x v="0"/>
    <s v="CUST_ID_129"/>
    <s v="PROD_ID_001"/>
    <x v="38"/>
    <s v="Medium"/>
    <d v="2020-08-25T00:00:00"/>
    <x v="2"/>
    <x v="0"/>
    <x v="0"/>
    <n v="2.81"/>
    <s v="6.00"/>
    <s v="18.00"/>
    <n v="50.58"/>
    <n v="3.5409999999999999"/>
    <n v="47.039000000000001"/>
    <s v="26.14"/>
    <n v="16.86"/>
    <n v="30.178999999999998"/>
  </r>
  <r>
    <x v="1"/>
    <x v="3"/>
    <x v="2"/>
    <s v="CUST_ID_140"/>
    <s v="PROD_ID_003"/>
    <x v="85"/>
    <s v="Medium"/>
    <d v="2020-04-18T00:00:00"/>
    <x v="5"/>
    <x v="2"/>
    <x v="0"/>
    <n v="1.514"/>
    <s v="148.00"/>
    <s v="23.00"/>
    <n v="34.822000000000003"/>
    <n v="2.4380000000000002"/>
    <n v="32.384"/>
    <s v="17.60"/>
    <n v="224.072"/>
    <n v="-191.68799999999999"/>
  </r>
  <r>
    <x v="3"/>
    <x v="7"/>
    <x v="2"/>
    <s v="CUST_ID_016"/>
    <s v="PROD_ID_003"/>
    <x v="15"/>
    <s v="Medium"/>
    <d v="2020-05-08T00:00:00"/>
    <x v="10"/>
    <x v="2"/>
    <x v="0"/>
    <n v="1.3620000000000001"/>
    <s v="148.00"/>
    <s v="11.00"/>
    <n v="14.981999999999999"/>
    <n v="1.0489999999999999"/>
    <n v="13.933"/>
    <d v="1939-07-01T00:00:00"/>
    <n v="201.57599999999999"/>
    <n v="-187.643"/>
  </r>
  <r>
    <x v="3"/>
    <x v="0"/>
    <x v="2"/>
    <s v="CUST_ID_041"/>
    <s v="PROD_ID_003"/>
    <x v="40"/>
    <s v="Medium"/>
    <d v="2021-08-04T00:00:00"/>
    <x v="2"/>
    <x v="0"/>
    <x v="1"/>
    <n v="656"/>
    <s v="148.00"/>
    <s v="11.00"/>
    <n v="7.2160000000000002"/>
    <n v="505"/>
    <n v="6.7110000000000003"/>
    <d v="1956-03-01T00:00:00"/>
    <n v="97.087999999999994"/>
    <n v="-90.376999999999995"/>
  </r>
  <r>
    <x v="3"/>
    <x v="7"/>
    <x v="2"/>
    <s v="CUST_ID_016"/>
    <s v="PROD_ID_003"/>
    <x v="15"/>
    <s v="Medium"/>
    <d v="2020-04-05T00:00:00"/>
    <x v="5"/>
    <x v="2"/>
    <x v="0"/>
    <n v="1.8979999999999999"/>
    <s v="148.00"/>
    <s v="11.00"/>
    <n v="20.878"/>
    <n v="1.4610000000000001"/>
    <n v="19.417000000000002"/>
    <d v="1930-10-01T00:00:00"/>
    <n v="280.904"/>
    <n v="-261.48700000000002"/>
  </r>
  <r>
    <x v="4"/>
    <x v="0"/>
    <x v="3"/>
    <s v="CUST_ID_081"/>
    <s v="PROD_ID_004"/>
    <x v="76"/>
    <s v="Medium"/>
    <d v="2021-02-25T00:00:00"/>
    <x v="4"/>
    <x v="1"/>
    <x v="1"/>
    <n v="2.0859999999999999"/>
    <s v="308.00"/>
    <s v="18.00"/>
    <n v="37.548000000000002"/>
    <n v="2.6280000000000001"/>
    <n v="34.92"/>
    <s v="19.40"/>
    <n v="642.48800000000006"/>
    <n v="-607.56799999999998"/>
  </r>
  <r>
    <x v="3"/>
    <x v="6"/>
    <x v="3"/>
    <s v="CUST_ID_055"/>
    <s v="PROD_ID_004"/>
    <x v="54"/>
    <s v="Medium"/>
    <d v="2021-01-01T00:00:00"/>
    <x v="1"/>
    <x v="1"/>
    <x v="1"/>
    <n v="1.8979999999999999"/>
    <s v="308.00"/>
    <s v="11.00"/>
    <n v="20.878"/>
    <n v="1.4610000000000001"/>
    <n v="19.417000000000002"/>
    <d v="1930-10-01T00:00:00"/>
    <n v="584.58399999999995"/>
    <n v="-565.16700000000003"/>
  </r>
  <r>
    <x v="3"/>
    <x v="6"/>
    <x v="5"/>
    <s v="CUST_ID_047"/>
    <s v="PROD_ID_006"/>
    <x v="46"/>
    <s v="Medium"/>
    <d v="2020-06-04T00:00:00"/>
    <x v="11"/>
    <x v="2"/>
    <x v="0"/>
    <n v="1.3620000000000001"/>
    <s v="320.00"/>
    <s v="11.00"/>
    <n v="14.981999999999999"/>
    <n v="1.0489999999999999"/>
    <n v="13.933"/>
    <d v="1939-07-01T00:00:00"/>
    <n v="435.84"/>
    <n v="-421.90699999999998"/>
  </r>
  <r>
    <x v="3"/>
    <x v="0"/>
    <x v="4"/>
    <s v="CUST_ID_057"/>
    <s v="PROD_ID_005"/>
    <x v="56"/>
    <s v="Medium"/>
    <d v="2021-05-03T00:00:00"/>
    <x v="10"/>
    <x v="2"/>
    <x v="1"/>
    <n v="2.113"/>
    <s v="4.00"/>
    <s v="525.00"/>
    <s v="1,109,325"/>
    <n v="77.653000000000006"/>
    <s v="1,031,672"/>
    <s v="573.21"/>
    <n v="8.452"/>
    <s v="1,023,220"/>
  </r>
  <r>
    <x v="2"/>
    <x v="4"/>
    <x v="4"/>
    <s v="CUST_ID_141"/>
    <s v="PROD_ID_005"/>
    <x v="56"/>
    <s v="Medium"/>
    <d v="2021-08-14T00:00:00"/>
    <x v="2"/>
    <x v="0"/>
    <x v="1"/>
    <n v="538"/>
    <s v="4.00"/>
    <s v="450.00"/>
    <n v="242.1"/>
    <n v="16.946999999999999"/>
    <n v="225.15299999999999"/>
    <s v="124.99"/>
    <n v="2.1520000000000001"/>
    <n v="223.001"/>
  </r>
  <r>
    <x v="2"/>
    <x v="4"/>
    <x v="4"/>
    <s v="CUST_ID_141"/>
    <s v="PROD_ID_005"/>
    <x v="56"/>
    <s v="Medium"/>
    <d v="2020-07-24T00:00:00"/>
    <x v="3"/>
    <x v="0"/>
    <x v="0"/>
    <n v="2.617"/>
    <s v="4.00"/>
    <s v="450.00"/>
    <s v="1,177,650"/>
    <n v="82.436000000000007"/>
    <s v="1,095,215"/>
    <s v="608.50"/>
    <n v="10.468"/>
    <s v="1,084,747"/>
  </r>
  <r>
    <x v="3"/>
    <x v="2"/>
    <x v="0"/>
    <s v="CUST_ID_059"/>
    <s v="PROD_ID_001"/>
    <x v="58"/>
    <s v="Medium"/>
    <d v="2020-09-24T00:00:00"/>
    <x v="0"/>
    <x v="0"/>
    <x v="0"/>
    <n v="2.371"/>
    <s v="6.00"/>
    <s v="30.00"/>
    <n v="71.13"/>
    <n v="4.9790000000000001"/>
    <n v="66.150999999999996"/>
    <s v="36.75"/>
    <n v="14.226000000000001"/>
    <n v="51.924999999999997"/>
  </r>
  <r>
    <x v="2"/>
    <x v="5"/>
    <x v="0"/>
    <s v="CUST_ID_078"/>
    <s v="PROD_ID_001"/>
    <x v="75"/>
    <s v="Medium"/>
    <d v="2021-07-26T00:00:00"/>
    <x v="3"/>
    <x v="0"/>
    <x v="1"/>
    <n v="2.617"/>
    <s v="6.00"/>
    <s v="450.00"/>
    <s v="1,177,650"/>
    <n v="82.436000000000007"/>
    <s v="1,095,215"/>
    <s v="608.50"/>
    <n v="15.702"/>
    <s v="1,079,513"/>
  </r>
  <r>
    <x v="2"/>
    <x v="5"/>
    <x v="1"/>
    <s v="CUST_ID_070"/>
    <s v="PROD_ID_002"/>
    <x v="67"/>
    <s v="Medium"/>
    <d v="2021-05-17T00:00:00"/>
    <x v="10"/>
    <x v="2"/>
    <x v="1"/>
    <n v="2.0419999999999998"/>
    <s v="12.00"/>
    <s v="450.00"/>
    <n v="918.9"/>
    <n v="64.322999999999993"/>
    <n v="854.577"/>
    <s v="474.86"/>
    <n v="24.504000000000001"/>
    <n v="830.07299999999998"/>
  </r>
  <r>
    <x v="2"/>
    <x v="0"/>
    <x v="1"/>
    <s v="CUST_ID_121"/>
    <s v="PROD_ID_002"/>
    <x v="70"/>
    <s v="Medium"/>
    <d v="2021-06-04T00:00:00"/>
    <x v="11"/>
    <x v="2"/>
    <x v="1"/>
    <n v="538"/>
    <s v="12.00"/>
    <s v="450.00"/>
    <n v="242.1"/>
    <n v="16.946999999999999"/>
    <n v="225.15299999999999"/>
    <s v="124.99"/>
    <n v="6.4560000000000004"/>
    <n v="218.697"/>
  </r>
  <r>
    <x v="0"/>
    <x v="6"/>
    <x v="1"/>
    <s v="CUST_ID_023"/>
    <s v="PROD_ID_002"/>
    <x v="22"/>
    <s v="Medium"/>
    <d v="2020-10-09T00:00:00"/>
    <x v="9"/>
    <x v="3"/>
    <x v="0"/>
    <n v="4.2160000000000002"/>
    <s v="12.00"/>
    <s v="188.00"/>
    <n v="792.60799999999995"/>
    <n v="55.482999999999997"/>
    <n v="737.125"/>
    <s v="408.39"/>
    <n v="50.591999999999999"/>
    <n v="686.53300000000002"/>
  </r>
  <r>
    <x v="1"/>
    <x v="1"/>
    <x v="1"/>
    <s v="CUST_ID_002"/>
    <s v="PROD_ID_002"/>
    <x v="1"/>
    <s v="Medium"/>
    <d v="2020-04-28T00:00:00"/>
    <x v="5"/>
    <x v="2"/>
    <x v="0"/>
    <n v="2.5209999999999999"/>
    <s v="12.00"/>
    <s v="23.00"/>
    <n v="57.982999999999997"/>
    <n v="4.0590000000000002"/>
    <n v="53.923999999999999"/>
    <s v="29.31"/>
    <n v="30.251999999999999"/>
    <n v="23.672000000000001"/>
  </r>
  <r>
    <x v="3"/>
    <x v="3"/>
    <x v="1"/>
    <s v="CUST_ID_052"/>
    <s v="PROD_ID_002"/>
    <x v="51"/>
    <s v="Medium"/>
    <d v="2020-03-06T00:00:00"/>
    <x v="8"/>
    <x v="1"/>
    <x v="0"/>
    <n v="1.8420000000000001"/>
    <s v="12.00"/>
    <s v="30.00"/>
    <n v="55.26"/>
    <n v="3.8679999999999999"/>
    <n v="51.392000000000003"/>
    <s v="28.55"/>
    <n v="22.103999999999999"/>
    <n v="29.288"/>
  </r>
  <r>
    <x v="2"/>
    <x v="4"/>
    <x v="2"/>
    <s v="CUST_ID_061"/>
    <s v="PROD_ID_003"/>
    <x v="59"/>
    <s v="Medium"/>
    <d v="2021-11-06T00:00:00"/>
    <x v="6"/>
    <x v="3"/>
    <x v="1"/>
    <n v="1.9910000000000001"/>
    <s v="148.00"/>
    <s v="450.00"/>
    <n v="895.95"/>
    <n v="62.716999999999999"/>
    <n v="833.23400000000004"/>
    <s v="462.86"/>
    <n v="294.66800000000001"/>
    <n v="538.56600000000003"/>
  </r>
  <r>
    <x v="3"/>
    <x v="6"/>
    <x v="2"/>
    <s v="CUST_ID_031"/>
    <s v="PROD_ID_003"/>
    <x v="30"/>
    <s v="Medium"/>
    <d v="2020-12-20T00:00:00"/>
    <x v="7"/>
    <x v="3"/>
    <x v="0"/>
    <n v="731"/>
    <s v="148.00"/>
    <s v="30.00"/>
    <n v="21.93"/>
    <n v="1.5349999999999999"/>
    <n v="20.395"/>
    <d v="1933-11-01T00:00:00"/>
    <n v="108.188"/>
    <n v="-87.793000000000006"/>
  </r>
  <r>
    <x v="0"/>
    <x v="4"/>
    <x v="2"/>
    <s v="CUST_ID_029"/>
    <s v="PROD_ID_003"/>
    <x v="28"/>
    <s v="Medium"/>
    <d v="2020-04-12T00:00:00"/>
    <x v="5"/>
    <x v="2"/>
    <x v="0"/>
    <n v="2.504"/>
    <s v="148.00"/>
    <s v="188.00"/>
    <n v="470.75200000000001"/>
    <n v="32.953000000000003"/>
    <n v="437.79899999999998"/>
    <s v="242.61"/>
    <n v="370.59199999999998"/>
    <n v="67.206999999999994"/>
  </r>
  <r>
    <x v="3"/>
    <x v="5"/>
    <x v="2"/>
    <s v="CUST_ID_054"/>
    <s v="PROD_ID_003"/>
    <x v="53"/>
    <s v="Medium"/>
    <d v="2021-08-03T00:00:00"/>
    <x v="2"/>
    <x v="0"/>
    <x v="1"/>
    <n v="2.371"/>
    <s v="148.00"/>
    <s v="30.00"/>
    <n v="71.13"/>
    <n v="4.9790000000000001"/>
    <n v="66.150999999999996"/>
    <s v="36.75"/>
    <n v="350.90800000000002"/>
    <n v="-284.75700000000001"/>
  </r>
  <r>
    <x v="2"/>
    <x v="5"/>
    <x v="2"/>
    <s v="CUST_ID_086"/>
    <s v="PROD_ID_003"/>
    <x v="49"/>
    <s v="Medium"/>
    <d v="2020-07-29T00:00:00"/>
    <x v="3"/>
    <x v="0"/>
    <x v="0"/>
    <n v="1.6459999999999999"/>
    <s v="148.00"/>
    <s v="450.00"/>
    <n v="740.7"/>
    <n v="51.848999999999997"/>
    <n v="688.851"/>
    <s v="382.79"/>
    <n v="243.608"/>
    <n v="445.24299999999999"/>
  </r>
  <r>
    <x v="4"/>
    <x v="5"/>
    <x v="3"/>
    <s v="CUST_ID_142"/>
    <s v="PROD_ID_004"/>
    <x v="86"/>
    <s v="Medium"/>
    <d v="2021-09-24T00:00:00"/>
    <x v="0"/>
    <x v="0"/>
    <x v="1"/>
    <n v="3.8929999999999998"/>
    <s v="308.00"/>
    <s v="18.00"/>
    <n v="70.073999999999998"/>
    <n v="4.9050000000000002"/>
    <n v="65.168999999999997"/>
    <s v="36.21"/>
    <s v="1,199,044"/>
    <s v="-1,133,875"/>
  </r>
  <r>
    <x v="2"/>
    <x v="5"/>
    <x v="3"/>
    <s v="CUST_ID_062"/>
    <s v="PROD_ID_004"/>
    <x v="60"/>
    <s v="Medium"/>
    <d v="2021-04-14T00:00:00"/>
    <x v="5"/>
    <x v="2"/>
    <x v="1"/>
    <n v="1.151"/>
    <s v="308.00"/>
    <s v="450.00"/>
    <n v="517.95000000000005"/>
    <n v="36.256999999999998"/>
    <n v="481.69400000000002"/>
    <s v="267.56"/>
    <n v="354.50799999999998"/>
    <n v="127.18600000000001"/>
  </r>
  <r>
    <x v="2"/>
    <x v="0"/>
    <x v="3"/>
    <s v="CUST_ID_017"/>
    <s v="PROD_ID_004"/>
    <x v="16"/>
    <s v="Medium"/>
    <d v="2020-04-10T00:00:00"/>
    <x v="5"/>
    <x v="2"/>
    <x v="0"/>
    <n v="3.2959999999999998"/>
    <s v="308.00"/>
    <s v="450.00"/>
    <s v="1,483,200"/>
    <n v="103.824"/>
    <s v="1,379,376"/>
    <s v="766.41"/>
    <s v="1,015,168"/>
    <n v="364.20800000000003"/>
  </r>
  <r>
    <x v="0"/>
    <x v="6"/>
    <x v="5"/>
    <s v="CUST_ID_143"/>
    <s v="PROD_ID_006"/>
    <x v="87"/>
    <s v="Medium"/>
    <d v="2021-06-03T00:00:00"/>
    <x v="11"/>
    <x v="2"/>
    <x v="1"/>
    <n v="1.974"/>
    <s v="320.00"/>
    <s v="188.00"/>
    <n v="371.11200000000002"/>
    <n v="25.978000000000002"/>
    <n v="345.13400000000001"/>
    <s v="191.23"/>
    <n v="631.67999999999995"/>
    <n v="-286.54599999999999"/>
  </r>
  <r>
    <x v="3"/>
    <x v="0"/>
    <x v="5"/>
    <s v="CUST_ID_065"/>
    <s v="PROD_ID_006"/>
    <x v="63"/>
    <s v="Medium"/>
    <d v="2021-06-30T00:00:00"/>
    <x v="11"/>
    <x v="2"/>
    <x v="1"/>
    <n v="3.4510000000000001"/>
    <s v="320.00"/>
    <s v="525.00"/>
    <s v="1,811,775"/>
    <n v="126.824"/>
    <s v="1,684,951"/>
    <s v="936.14"/>
    <s v="1,104,320"/>
    <n v="580.63099999999997"/>
  </r>
  <r>
    <x v="3"/>
    <x v="6"/>
    <x v="5"/>
    <s v="CUST_ID_047"/>
    <s v="PROD_ID_006"/>
    <x v="46"/>
    <s v="Medium"/>
    <d v="2020-12-04T00:00:00"/>
    <x v="7"/>
    <x v="3"/>
    <x v="0"/>
    <n v="1.3420000000000001"/>
    <s v="320.00"/>
    <s v="30.00"/>
    <n v="40.26"/>
    <n v="2.8180000000000001"/>
    <n v="37.442"/>
    <s v="20.79"/>
    <n v="429.44"/>
    <n v="-391.99799999999999"/>
  </r>
  <r>
    <x v="2"/>
    <x v="7"/>
    <x v="5"/>
    <s v="CUST_ID_144"/>
    <s v="PROD_ID_006"/>
    <x v="69"/>
    <s v="Medium"/>
    <d v="2021-09-20T00:00:00"/>
    <x v="0"/>
    <x v="0"/>
    <x v="1"/>
    <n v="1.6459999999999999"/>
    <s v="320.00"/>
    <s v="450.00"/>
    <n v="740.7"/>
    <n v="51.848999999999997"/>
    <n v="688.851"/>
    <s v="382.79"/>
    <n v="526.72"/>
    <n v="162.131"/>
  </r>
  <r>
    <x v="3"/>
    <x v="2"/>
    <x v="0"/>
    <s v="CUST_ID_043"/>
    <s v="PROD_ID_001"/>
    <x v="42"/>
    <s v="Medium"/>
    <d v="2021-10-20T00:00:00"/>
    <x v="9"/>
    <x v="3"/>
    <x v="1"/>
    <n v="586"/>
    <s v="6.00"/>
    <s v="11.00"/>
    <n v="6.4459999999999997"/>
    <n v="516"/>
    <n v="5.93"/>
    <d v="2014-03-01T00:00:00"/>
    <n v="3.516"/>
    <n v="2.4140000000000001"/>
  </r>
  <r>
    <x v="3"/>
    <x v="2"/>
    <x v="0"/>
    <s v="CUST_ID_099"/>
    <s v="PROD_ID_001"/>
    <x v="72"/>
    <s v="Medium"/>
    <d v="2020-10-12T00:00:00"/>
    <x v="9"/>
    <x v="3"/>
    <x v="0"/>
    <n v="1.538"/>
    <s v="6.00"/>
    <s v="30.00"/>
    <n v="46.14"/>
    <n v="3.6909999999999998"/>
    <n v="42.448999999999998"/>
    <s v="23.59"/>
    <n v="9.2279999999999998"/>
    <n v="33.220999999999997"/>
  </r>
  <r>
    <x v="3"/>
    <x v="3"/>
    <x v="1"/>
    <s v="CUST_ID_004"/>
    <s v="PROD_ID_002"/>
    <x v="3"/>
    <s v="Medium"/>
    <d v="2020-10-21T00:00:00"/>
    <x v="9"/>
    <x v="3"/>
    <x v="0"/>
    <n v="308"/>
    <s v="12.00"/>
    <s v="11.00"/>
    <n v="3.3879999999999999"/>
    <n v="271"/>
    <n v="3.117"/>
    <d v="1966-01-01T00:00:00"/>
    <n v="3.6960000000000002"/>
    <n v="-579"/>
  </r>
  <r>
    <x v="3"/>
    <x v="7"/>
    <x v="5"/>
    <s v="CUST_ID_064"/>
    <s v="PROD_ID_006"/>
    <x v="62"/>
    <s v="Medium"/>
    <d v="2020-10-02T00:00:00"/>
    <x v="9"/>
    <x v="3"/>
    <x v="0"/>
    <n v="1.538"/>
    <s v="320.00"/>
    <s v="30.00"/>
    <n v="46.14"/>
    <n v="3.6909999999999998"/>
    <n v="42.448999999999998"/>
    <s v="23.59"/>
    <n v="492.16"/>
    <n v="-449.71100000000001"/>
  </r>
  <r>
    <x v="0"/>
    <x v="3"/>
    <x v="4"/>
    <s v="CUST_ID_100"/>
    <s v="PROD_ID_005"/>
    <x v="73"/>
    <s v="Medium"/>
    <d v="2020-05-31T00:00:00"/>
    <x v="10"/>
    <x v="2"/>
    <x v="0"/>
    <n v="1.8480000000000001"/>
    <s v="4.00"/>
    <s v="188.00"/>
    <n v="347.42399999999998"/>
    <n v="27.794"/>
    <n v="319.63"/>
    <s v="177.10"/>
    <n v="7.3920000000000003"/>
    <n v="312.238"/>
  </r>
  <r>
    <x v="1"/>
    <x v="1"/>
    <x v="4"/>
    <s v="CUST_ID_106"/>
    <s v="PROD_ID_005"/>
    <x v="57"/>
    <s v="Medium"/>
    <d v="2021-01-06T00:00:00"/>
    <x v="1"/>
    <x v="1"/>
    <x v="1"/>
    <n v="588"/>
    <s v="4.00"/>
    <s v="23.00"/>
    <n v="13.523999999999999"/>
    <n v="1.0820000000000001"/>
    <n v="12.442"/>
    <d v="1976-06-01T00:00:00"/>
    <n v="2.3519999999999999"/>
    <n v="10.09"/>
  </r>
  <r>
    <x v="3"/>
    <x v="1"/>
    <x v="4"/>
    <s v="CUST_ID_066"/>
    <s v="PROD_ID_005"/>
    <x v="64"/>
    <s v="Medium"/>
    <d v="2020-01-26T00:00:00"/>
    <x v="1"/>
    <x v="1"/>
    <x v="0"/>
    <n v="1.6339999999999999"/>
    <s v="4.00"/>
    <s v="525.00"/>
    <n v="857.85"/>
    <n v="68.628"/>
    <n v="789.22199999999998"/>
    <s v="438.56"/>
    <n v="6.5359999999999996"/>
    <n v="782.68600000000004"/>
  </r>
  <r>
    <x v="1"/>
    <x v="0"/>
    <x v="0"/>
    <s v="CUST_ID_145"/>
    <s v="PROD_ID_001"/>
    <x v="70"/>
    <s v="Medium"/>
    <d v="2021-01-03T00:00:00"/>
    <x v="1"/>
    <x v="1"/>
    <x v="1"/>
    <n v="3.0009999999999999"/>
    <s v="6.00"/>
    <s v="23.00"/>
    <n v="69.022999999999996"/>
    <n v="5.5220000000000002"/>
    <n v="63.500999999999998"/>
    <s v="34.51"/>
    <n v="18.006"/>
    <n v="45.494999999999997"/>
  </r>
  <r>
    <x v="3"/>
    <x v="2"/>
    <x v="0"/>
    <s v="CUST_ID_043"/>
    <s v="PROD_ID_001"/>
    <x v="42"/>
    <s v="Medium"/>
    <d v="2020-11-27T00:00:00"/>
    <x v="6"/>
    <x v="3"/>
    <x v="0"/>
    <n v="850"/>
    <s v="6.00"/>
    <s v="30.00"/>
    <n v="25.5"/>
    <n v="2.04"/>
    <n v="23.46"/>
    <d v="2025-03-13T00:00:00"/>
    <n v="5.0999999999999996"/>
    <n v="18.36"/>
  </r>
  <r>
    <x v="3"/>
    <x v="4"/>
    <x v="0"/>
    <s v="CUST_ID_037"/>
    <s v="PROD_ID_001"/>
    <x v="36"/>
    <s v="Medium"/>
    <d v="2021-08-15T00:00:00"/>
    <x v="2"/>
    <x v="0"/>
    <x v="1"/>
    <n v="774"/>
    <s v="6.00"/>
    <s v="30.00"/>
    <n v="23.22"/>
    <n v="1.8580000000000001"/>
    <n v="21.361999999999998"/>
    <d v="1987-11-01T00:00:00"/>
    <n v="4.6440000000000001"/>
    <n v="16.718"/>
  </r>
  <r>
    <x v="2"/>
    <x v="5"/>
    <x v="0"/>
    <s v="CUST_ID_078"/>
    <s v="PROD_ID_001"/>
    <x v="75"/>
    <s v="Medium"/>
    <d v="2021-07-11T00:00:00"/>
    <x v="3"/>
    <x v="0"/>
    <x v="1"/>
    <n v="1.8740000000000001"/>
    <s v="6.00"/>
    <s v="450.00"/>
    <n v="843.3"/>
    <n v="67.463999999999999"/>
    <n v="775.83600000000001"/>
    <s v="431.11"/>
    <n v="11.244"/>
    <n v="764.59199999999998"/>
  </r>
  <r>
    <x v="1"/>
    <x v="4"/>
    <x v="0"/>
    <s v="CUST_ID_109"/>
    <s v="PROD_ID_001"/>
    <x v="80"/>
    <s v="Medium"/>
    <d v="2021-06-22T00:00:00"/>
    <x v="11"/>
    <x v="2"/>
    <x v="1"/>
    <n v="853"/>
    <s v="6.00"/>
    <s v="23.00"/>
    <n v="19.619"/>
    <n v="1.57"/>
    <n v="18.048999999999999"/>
    <d v="1981-09-01T00:00:00"/>
    <n v="5.1180000000000003"/>
    <n v="12.930999999999999"/>
  </r>
  <r>
    <x v="0"/>
    <x v="7"/>
    <x v="1"/>
    <s v="CUST_ID_024"/>
    <s v="PROD_ID_002"/>
    <x v="23"/>
    <s v="Medium"/>
    <d v="2021-11-09T00:00:00"/>
    <x v="6"/>
    <x v="3"/>
    <x v="1"/>
    <n v="1.337"/>
    <s v="12.00"/>
    <s v="188.00"/>
    <n v="251.35599999999999"/>
    <n v="20.108000000000001"/>
    <n v="231.24799999999999"/>
    <s v="128.11"/>
    <n v="16.044"/>
    <n v="215.20400000000001"/>
  </r>
  <r>
    <x v="3"/>
    <x v="7"/>
    <x v="1"/>
    <s v="CUST_ID_072"/>
    <s v="PROD_ID_002"/>
    <x v="69"/>
    <s v="Medium"/>
    <d v="2021-07-12T00:00:00"/>
    <x v="3"/>
    <x v="0"/>
    <x v="1"/>
    <n v="1.5109999999999999"/>
    <s v="12.00"/>
    <s v="11.00"/>
    <n v="16.620999999999999"/>
    <n v="1.33"/>
    <n v="15.291"/>
    <d v="2025-11-08T00:00:00"/>
    <n v="18.132000000000001"/>
    <n v="-2.8410000000000002"/>
  </r>
  <r>
    <x v="3"/>
    <x v="7"/>
    <x v="1"/>
    <s v="CUST_ID_072"/>
    <s v="PROD_ID_002"/>
    <x v="69"/>
    <s v="Medium"/>
    <d v="2020-09-28T00:00:00"/>
    <x v="0"/>
    <x v="0"/>
    <x v="0"/>
    <n v="1.3140000000000001"/>
    <s v="12.00"/>
    <s v="11.00"/>
    <n v="14.454000000000001"/>
    <n v="1.1559999999999999"/>
    <n v="13.298"/>
    <d v="2025-05-07T00:00:00"/>
    <n v="15.768000000000001"/>
    <n v="-2.4700000000000002"/>
  </r>
  <r>
    <x v="3"/>
    <x v="7"/>
    <x v="1"/>
    <s v="CUST_ID_072"/>
    <s v="PROD_ID_002"/>
    <x v="69"/>
    <s v="Medium"/>
    <d v="2020-03-04T00:00:00"/>
    <x v="8"/>
    <x v="1"/>
    <x v="0"/>
    <n v="1.639"/>
    <s v="12.00"/>
    <s v="30.00"/>
    <n v="49.17"/>
    <n v="3.9340000000000002"/>
    <n v="45.235999999999997"/>
    <s v="25.13"/>
    <n v="19.667999999999999"/>
    <n v="25.568000000000001"/>
  </r>
  <r>
    <x v="2"/>
    <x v="2"/>
    <x v="1"/>
    <s v="CUST_ID_003"/>
    <s v="PROD_ID_002"/>
    <x v="2"/>
    <s v="Medium"/>
    <d v="2020-07-27T00:00:00"/>
    <x v="3"/>
    <x v="0"/>
    <x v="0"/>
    <n v="2.952"/>
    <s v="12.00"/>
    <s v="450.00"/>
    <s v="1,328,400"/>
    <n v="106.27200000000001"/>
    <s v="1,222,128"/>
    <s v="678.96"/>
    <n v="35.423999999999999"/>
    <s v="1,186,704"/>
  </r>
  <r>
    <x v="3"/>
    <x v="2"/>
    <x v="1"/>
    <s v="CUST_ID_027"/>
    <s v="PROD_ID_002"/>
    <x v="26"/>
    <s v="Medium"/>
    <d v="2020-03-21T00:00:00"/>
    <x v="8"/>
    <x v="1"/>
    <x v="0"/>
    <n v="814"/>
    <s v="12.00"/>
    <s v="11.00"/>
    <n v="8.9540000000000006"/>
    <n v="716"/>
    <n v="8.2379999999999995"/>
    <d v="1937-04-01T00:00:00"/>
    <n v="9.7680000000000007"/>
    <n v="-1.53"/>
  </r>
  <r>
    <x v="3"/>
    <x v="7"/>
    <x v="1"/>
    <s v="CUST_ID_072"/>
    <s v="PROD_ID_002"/>
    <x v="69"/>
    <s v="Medium"/>
    <d v="2020-11-06T00:00:00"/>
    <x v="6"/>
    <x v="3"/>
    <x v="0"/>
    <n v="1.9179999999999999"/>
    <s v="12.00"/>
    <s v="11.00"/>
    <n v="21.097999999999999"/>
    <n v="1.6879999999999999"/>
    <n v="19.41"/>
    <d v="2029-10-01T00:00:00"/>
    <n v="23.015999999999998"/>
    <n v="-3.6059999999999999"/>
  </r>
  <r>
    <x v="3"/>
    <x v="7"/>
    <x v="1"/>
    <s v="CUST_ID_072"/>
    <s v="PROD_ID_002"/>
    <x v="69"/>
    <s v="Medium"/>
    <d v="2020-02-02T00:00:00"/>
    <x v="4"/>
    <x v="1"/>
    <x v="0"/>
    <n v="2.3210000000000002"/>
    <s v="12.00"/>
    <s v="30.00"/>
    <n v="69.63"/>
    <n v="5.57"/>
    <n v="64.06"/>
    <s v="35.59"/>
    <n v="27.852"/>
    <n v="36.207999999999998"/>
  </r>
  <r>
    <x v="3"/>
    <x v="7"/>
    <x v="1"/>
    <s v="CUST_ID_040"/>
    <s v="PROD_ID_002"/>
    <x v="39"/>
    <s v="Medium"/>
    <d v="2020-01-12T00:00:00"/>
    <x v="1"/>
    <x v="1"/>
    <x v="0"/>
    <n v="3.5920000000000001"/>
    <s v="12.00"/>
    <s v="30.00"/>
    <n v="107.76"/>
    <n v="8.6210000000000004"/>
    <n v="99.138999999999996"/>
    <s v="55.07"/>
    <n v="43.103999999999999"/>
    <n v="56.034999999999997"/>
  </r>
  <r>
    <x v="3"/>
    <x v="7"/>
    <x v="1"/>
    <s v="CUST_ID_040"/>
    <s v="PROD_ID_002"/>
    <x v="39"/>
    <s v="Medium"/>
    <d v="2021-09-12T00:00:00"/>
    <x v="0"/>
    <x v="0"/>
    <x v="1"/>
    <n v="1.6339999999999999"/>
    <s v="12.00"/>
    <s v="525.00"/>
    <n v="857.85"/>
    <n v="68.628"/>
    <n v="789.22199999999998"/>
    <s v="438.56"/>
    <n v="19.608000000000001"/>
    <n v="769.61400000000003"/>
  </r>
  <r>
    <x v="4"/>
    <x v="4"/>
    <x v="2"/>
    <s v="CUST_ID_133"/>
    <s v="PROD_ID_003"/>
    <x v="80"/>
    <s v="Medium"/>
    <d v="2020-05-04T00:00:00"/>
    <x v="10"/>
    <x v="2"/>
    <x v="0"/>
    <n v="718"/>
    <s v="148.00"/>
    <s v="18.00"/>
    <n v="12.923999999999999"/>
    <n v="1.034"/>
    <n v="11.89"/>
    <d v="1960-06-01T00:00:00"/>
    <n v="106.264"/>
    <n v="-94.373999999999995"/>
  </r>
  <r>
    <x v="3"/>
    <x v="0"/>
    <x v="2"/>
    <s v="CUST_ID_041"/>
    <s v="PROD_ID_003"/>
    <x v="40"/>
    <s v="Medium"/>
    <d v="2021-08-17T00:00:00"/>
    <x v="2"/>
    <x v="0"/>
    <x v="1"/>
    <n v="3.488"/>
    <s v="148.00"/>
    <s v="11.00"/>
    <n v="38.368000000000002"/>
    <n v="3.069"/>
    <n v="35.298999999999999"/>
    <s v="18.72"/>
    <n v="516.22400000000005"/>
    <n v="-480.92500000000001"/>
  </r>
  <r>
    <x v="3"/>
    <x v="3"/>
    <x v="2"/>
    <s v="CUST_ID_028"/>
    <s v="PROD_ID_003"/>
    <x v="27"/>
    <s v="Medium"/>
    <d v="2020-07-05T00:00:00"/>
    <x v="3"/>
    <x v="0"/>
    <x v="0"/>
    <n v="2.806"/>
    <s v="148.00"/>
    <s v="11.00"/>
    <n v="30.866"/>
    <n v="2.4689999999999999"/>
    <n v="28.396999999999998"/>
    <d v="2025-06-15T00:00:00"/>
    <n v="415.28800000000001"/>
    <n v="-386.89100000000002"/>
  </r>
  <r>
    <x v="2"/>
    <x v="0"/>
    <x v="2"/>
    <s v="CUST_ID_097"/>
    <s v="PROD_ID_003"/>
    <x v="89"/>
    <s v="Medium"/>
    <d v="2020-08-11T00:00:00"/>
    <x v="2"/>
    <x v="0"/>
    <x v="0"/>
    <n v="762"/>
    <s v="148.00"/>
    <s v="450.00"/>
    <n v="342.9"/>
    <n v="27.431999999999999"/>
    <n v="315.46800000000002"/>
    <s v="175.26"/>
    <n v="112.776"/>
    <n v="202.69200000000001"/>
  </r>
  <r>
    <x v="3"/>
    <x v="7"/>
    <x v="3"/>
    <s v="CUST_ID_008"/>
    <s v="PROD_ID_004"/>
    <x v="7"/>
    <s v="Medium"/>
    <d v="2021-02-22T00:00:00"/>
    <x v="4"/>
    <x v="1"/>
    <x v="1"/>
    <n v="689"/>
    <s v="308.00"/>
    <s v="525.00"/>
    <n v="361.72500000000002"/>
    <n v="28.937999999999999"/>
    <n v="332.78699999999998"/>
    <s v="184.99"/>
    <n v="212.21199999999999"/>
    <n v="120.575"/>
  </r>
  <r>
    <x v="3"/>
    <x v="7"/>
    <x v="3"/>
    <s v="CUST_ID_056"/>
    <s v="PROD_ID_004"/>
    <x v="55"/>
    <s v="Medium"/>
    <d v="2021-10-13T00:00:00"/>
    <x v="9"/>
    <x v="3"/>
    <x v="1"/>
    <n v="2.806"/>
    <s v="308.00"/>
    <s v="11.00"/>
    <n v="30.866"/>
    <n v="2.4689999999999999"/>
    <n v="28.396999999999998"/>
    <d v="2025-06-15T00:00:00"/>
    <n v="864.24800000000005"/>
    <n v="-835.851"/>
  </r>
  <r>
    <x v="3"/>
    <x v="7"/>
    <x v="3"/>
    <s v="CUST_ID_008"/>
    <s v="PROD_ID_004"/>
    <x v="7"/>
    <s v="Medium"/>
    <d v="2021-03-20T00:00:00"/>
    <x v="8"/>
    <x v="1"/>
    <x v="1"/>
    <n v="457"/>
    <s v="308.00"/>
    <s v="525.00"/>
    <n v="239.92500000000001"/>
    <n v="19.193999999999999"/>
    <n v="220.73099999999999"/>
    <s v="122.68"/>
    <n v="140.756"/>
    <n v="79.974999999999994"/>
  </r>
  <r>
    <x v="3"/>
    <x v="7"/>
    <x v="3"/>
    <s v="CUST_ID_056"/>
    <s v="PROD_ID_004"/>
    <x v="55"/>
    <s v="Medium"/>
    <d v="2021-08-06T00:00:00"/>
    <x v="2"/>
    <x v="0"/>
    <x v="1"/>
    <n v="506"/>
    <s v="308.00"/>
    <s v="525.00"/>
    <n v="265.64999999999998"/>
    <n v="21.251999999999999"/>
    <n v="244.398"/>
    <s v="135.88"/>
    <n v="155.84800000000001"/>
    <n v="88.55"/>
  </r>
  <r>
    <x v="2"/>
    <x v="6"/>
    <x v="3"/>
    <s v="CUST_ID_063"/>
    <s v="PROD_ID_004"/>
    <x v="61"/>
    <s v="Medium"/>
    <d v="2021-03-20T00:00:00"/>
    <x v="8"/>
    <x v="1"/>
    <x v="1"/>
    <n v="2.5609999999999999"/>
    <s v="308.00"/>
    <s v="450.00"/>
    <s v="1,152,450"/>
    <n v="92.195999999999998"/>
    <s v="1,060,254"/>
    <s v="588.98"/>
    <n v="788.78800000000001"/>
    <n v="271.46600000000001"/>
  </r>
  <r>
    <x v="3"/>
    <x v="6"/>
    <x v="5"/>
    <s v="CUST_ID_047"/>
    <s v="PROD_ID_006"/>
    <x v="46"/>
    <s v="Medium"/>
    <d v="2020-04-19T00:00:00"/>
    <x v="5"/>
    <x v="2"/>
    <x v="0"/>
    <n v="850"/>
    <s v="320.00"/>
    <s v="30.00"/>
    <n v="25.5"/>
    <n v="2.04"/>
    <n v="23.46"/>
    <d v="2025-03-13T00:00:00"/>
    <n v="272"/>
    <n v="-248.54"/>
  </r>
  <r>
    <x v="3"/>
    <x v="7"/>
    <x v="5"/>
    <s v="CUST_ID_064"/>
    <s v="PROD_ID_006"/>
    <x v="62"/>
    <s v="Medium"/>
    <d v="2021-04-25T00:00:00"/>
    <x v="5"/>
    <x v="2"/>
    <x v="1"/>
    <n v="3.488"/>
    <s v="320.00"/>
    <s v="11.00"/>
    <n v="38.368000000000002"/>
    <n v="3.069"/>
    <n v="35.298999999999999"/>
    <s v="18.72"/>
    <s v="1,116,160"/>
    <s v="-1,080,861"/>
  </r>
  <r>
    <x v="3"/>
    <x v="2"/>
    <x v="5"/>
    <s v="CUST_ID_035"/>
    <s v="PROD_ID_006"/>
    <x v="34"/>
    <s v="Medium"/>
    <d v="2021-10-08T00:00:00"/>
    <x v="9"/>
    <x v="3"/>
    <x v="1"/>
    <n v="1.639"/>
    <s v="320.00"/>
    <s v="30.00"/>
    <n v="49.17"/>
    <n v="3.9340000000000002"/>
    <n v="45.235999999999997"/>
    <s v="25.13"/>
    <n v="524.48"/>
    <n v="-479.24400000000003"/>
  </r>
  <r>
    <x v="2"/>
    <x v="6"/>
    <x v="5"/>
    <s v="CUST_ID_127"/>
    <s v="PROD_ID_006"/>
    <x v="91"/>
    <s v="Medium"/>
    <d v="2021-06-15T00:00:00"/>
    <x v="11"/>
    <x v="2"/>
    <x v="1"/>
    <n v="2.952"/>
    <s v="320.00"/>
    <s v="450.00"/>
    <s v="1,328,400"/>
    <n v="106.27200000000001"/>
    <s v="1,222,128"/>
    <s v="678.96"/>
    <n v="944.64"/>
    <n v="277.488"/>
  </r>
  <r>
    <x v="3"/>
    <x v="2"/>
    <x v="5"/>
    <s v="CUST_ID_035"/>
    <s v="PROD_ID_006"/>
    <x v="34"/>
    <s v="Medium"/>
    <d v="2021-10-10T00:00:00"/>
    <x v="9"/>
    <x v="3"/>
    <x v="1"/>
    <n v="1.8240000000000001"/>
    <s v="320.00"/>
    <s v="30.00"/>
    <n v="54.72"/>
    <n v="4.3780000000000001"/>
    <n v="50.341999999999999"/>
    <s v="27.97"/>
    <n v="583.67999999999995"/>
    <n v="-533.33799999999997"/>
  </r>
  <r>
    <x v="1"/>
    <x v="1"/>
    <x v="5"/>
    <s v="CUST_ID_082"/>
    <s v="PROD_ID_006"/>
    <x v="77"/>
    <s v="Medium"/>
    <d v="2021-07-27T00:00:00"/>
    <x v="3"/>
    <x v="0"/>
    <x v="1"/>
    <n v="853"/>
    <s v="320.00"/>
    <s v="23.00"/>
    <n v="19.619"/>
    <n v="1.57"/>
    <n v="18.048999999999999"/>
    <d v="1981-09-01T00:00:00"/>
    <n v="272.95999999999998"/>
    <n v="-254.911"/>
  </r>
  <r>
    <x v="2"/>
    <x v="6"/>
    <x v="5"/>
    <s v="CUST_ID_127"/>
    <s v="PROD_ID_006"/>
    <x v="91"/>
    <s v="Medium"/>
    <d v="2021-06-27T00:00:00"/>
    <x v="11"/>
    <x v="2"/>
    <x v="1"/>
    <n v="762"/>
    <s v="320.00"/>
    <s v="450.00"/>
    <n v="342.9"/>
    <n v="27.431999999999999"/>
    <n v="315.46800000000002"/>
    <s v="175.26"/>
    <n v="243.84"/>
    <n v="71.628"/>
  </r>
  <r>
    <x v="3"/>
    <x v="0"/>
    <x v="3"/>
    <s v="CUST_ID_033"/>
    <s v="PROD_ID_004"/>
    <x v="32"/>
    <s v="Medium"/>
    <d v="2021-05-12T00:00:00"/>
    <x v="10"/>
    <x v="2"/>
    <x v="1"/>
    <n v="524"/>
    <s v="308.00"/>
    <s v="30.00"/>
    <n v="15.72"/>
    <n v="1.258"/>
    <n v="14.462"/>
    <d v="2025-03-08T00:00:00"/>
    <n v="161.392"/>
    <n v="-146.93"/>
  </r>
  <r>
    <x v="2"/>
    <x v="1"/>
    <x v="4"/>
    <s v="CUST_ID_146"/>
    <s v="PROD_ID_005"/>
    <x v="71"/>
    <s v="Medium"/>
    <d v="2021-12-20T00:00:00"/>
    <x v="7"/>
    <x v="3"/>
    <x v="1"/>
    <n v="1.3129999999999999"/>
    <s v="4.00"/>
    <s v="450.00"/>
    <n v="590.85"/>
    <n v="53.177"/>
    <n v="537.67399999999998"/>
    <s v="298.66"/>
    <n v="5.2519999999999998"/>
    <n v="532.42200000000003"/>
  </r>
  <r>
    <x v="2"/>
    <x v="1"/>
    <x v="0"/>
    <s v="CUST_ID_074"/>
    <s v="PROD_ID_001"/>
    <x v="71"/>
    <s v="Medium"/>
    <d v="2021-12-06T00:00:00"/>
    <x v="7"/>
    <x v="3"/>
    <x v="1"/>
    <n v="4.5629999999999997"/>
    <s v="6.00"/>
    <s v="450.00"/>
    <s v="2,053,350"/>
    <n v="184.80199999999999"/>
    <s v="1,868,549"/>
    <s v="1,038.08"/>
    <n v="27.378"/>
    <s v="1,841,171"/>
  </r>
  <r>
    <x v="3"/>
    <x v="2"/>
    <x v="0"/>
    <s v="CUST_ID_059"/>
    <s v="PROD_ID_001"/>
    <x v="58"/>
    <s v="Medium"/>
    <d v="2020-09-01T00:00:00"/>
    <x v="0"/>
    <x v="0"/>
    <x v="0"/>
    <n v="1.9990000000000001"/>
    <s v="6.00"/>
    <s v="525.00"/>
    <s v="1,049,475"/>
    <n v="94.453000000000003"/>
    <n v="955.02200000000005"/>
    <s v="530.62"/>
    <n v="11.994"/>
    <n v="943.02800000000002"/>
  </r>
  <r>
    <x v="4"/>
    <x v="5"/>
    <x v="0"/>
    <s v="CUST_ID_110"/>
    <s v="PROD_ID_001"/>
    <x v="49"/>
    <s v="Medium"/>
    <d v="2020-06-21T00:00:00"/>
    <x v="11"/>
    <x v="2"/>
    <x v="0"/>
    <n v="2.7850000000000001"/>
    <s v="6.00"/>
    <s v="18.00"/>
    <n v="50.13"/>
    <n v="4.5119999999999996"/>
    <n v="45.618000000000002"/>
    <s v="25.35"/>
    <n v="16.71"/>
    <n v="28.908000000000001"/>
  </r>
  <r>
    <x v="0"/>
    <x v="4"/>
    <x v="0"/>
    <s v="CUST_ID_013"/>
    <s v="PROD_ID_001"/>
    <x v="12"/>
    <s v="Medium"/>
    <d v="2020-10-24T00:00:00"/>
    <x v="9"/>
    <x v="3"/>
    <x v="0"/>
    <n v="3.3559999999999999"/>
    <s v="6.00"/>
    <s v="188.00"/>
    <n v="630.928"/>
    <n v="56.783999999999999"/>
    <n v="574.14400000000001"/>
    <s v="318.16"/>
    <n v="20.135999999999999"/>
    <n v="554.00800000000004"/>
  </r>
  <r>
    <x v="2"/>
    <x v="2"/>
    <x v="1"/>
    <s v="CUST_ID_003"/>
    <s v="PROD_ID_002"/>
    <x v="2"/>
    <s v="Medium"/>
    <d v="2020-07-29T00:00:00"/>
    <x v="3"/>
    <x v="0"/>
    <x v="0"/>
    <n v="3.0779999999999998"/>
    <s v="12.00"/>
    <s v="450.00"/>
    <s v="1,385,100"/>
    <n v="124.65900000000001"/>
    <s v="1,260,441"/>
    <s v="700.25"/>
    <n v="36.936"/>
    <s v="1,223,505"/>
  </r>
  <r>
    <x v="3"/>
    <x v="7"/>
    <x v="1"/>
    <s v="CUST_ID_040"/>
    <s v="PROD_ID_002"/>
    <x v="39"/>
    <s v="Medium"/>
    <d v="2021-04-24T00:00:00"/>
    <x v="5"/>
    <x v="2"/>
    <x v="1"/>
    <n v="2.9"/>
    <s v="12.00"/>
    <s v="525.00"/>
    <s v="1,522,500"/>
    <n v="137.02500000000001"/>
    <s v="1,385,475"/>
    <s v="769.81"/>
    <n v="34.799999999999997"/>
    <s v="1,350,675"/>
  </r>
  <r>
    <x v="1"/>
    <x v="1"/>
    <x v="1"/>
    <s v="CUST_ID_026"/>
    <s v="PROD_ID_002"/>
    <x v="25"/>
    <s v="Medium"/>
    <d v="2020-10-28T00:00:00"/>
    <x v="9"/>
    <x v="3"/>
    <x v="0"/>
    <n v="4.41"/>
    <s v="12.00"/>
    <s v="23.00"/>
    <n v="101.43"/>
    <n v="9.1289999999999996"/>
    <n v="92.301000000000002"/>
    <s v="50.16"/>
    <n v="52.92"/>
    <n v="39.381"/>
  </r>
  <r>
    <x v="2"/>
    <x v="5"/>
    <x v="1"/>
    <s v="CUST_ID_070"/>
    <s v="PROD_ID_002"/>
    <x v="67"/>
    <s v="Medium"/>
    <d v="2020-07-01T00:00:00"/>
    <x v="3"/>
    <x v="0"/>
    <x v="0"/>
    <n v="1.3129999999999999"/>
    <s v="12.00"/>
    <s v="450.00"/>
    <n v="590.85"/>
    <n v="53.177"/>
    <n v="537.67399999999998"/>
    <s v="298.66"/>
    <n v="15.756"/>
    <n v="521.91800000000001"/>
  </r>
  <r>
    <x v="1"/>
    <x v="1"/>
    <x v="1"/>
    <s v="CUST_ID_002"/>
    <s v="PROD_ID_002"/>
    <x v="1"/>
    <s v="Medium"/>
    <d v="2020-10-21T00:00:00"/>
    <x v="9"/>
    <x v="3"/>
    <x v="0"/>
    <n v="1.472"/>
    <s v="12.00"/>
    <s v="23.00"/>
    <n v="33.856000000000002"/>
    <n v="3.0470000000000002"/>
    <n v="30.809000000000001"/>
    <s v="16.75"/>
    <n v="17.664000000000001"/>
    <n v="13.145"/>
  </r>
  <r>
    <x v="2"/>
    <x v="0"/>
    <x v="1"/>
    <s v="CUST_ID_121"/>
    <s v="PROD_ID_002"/>
    <x v="70"/>
    <s v="Medium"/>
    <d v="2020-06-04T00:00:00"/>
    <x v="11"/>
    <x v="2"/>
    <x v="0"/>
    <n v="1.589"/>
    <s v="12.00"/>
    <s v="450.00"/>
    <n v="715.05"/>
    <n v="64.355000000000004"/>
    <n v="650.69600000000003"/>
    <s v="361.45"/>
    <n v="19.068000000000001"/>
    <n v="631.62800000000004"/>
  </r>
  <r>
    <x v="0"/>
    <x v="2"/>
    <x v="1"/>
    <s v="CUST_ID_115"/>
    <s v="PROD_ID_002"/>
    <x v="84"/>
    <s v="Medium"/>
    <d v="2020-07-26T00:00:00"/>
    <x v="3"/>
    <x v="0"/>
    <x v="0"/>
    <n v="3.3559999999999999"/>
    <s v="12.00"/>
    <s v="188.00"/>
    <n v="630.928"/>
    <n v="56.783999999999999"/>
    <n v="574.14400000000001"/>
    <s v="318.16"/>
    <n v="40.271999999999998"/>
    <n v="533.87199999999996"/>
  </r>
  <r>
    <x v="1"/>
    <x v="2"/>
    <x v="2"/>
    <s v="CUST_ID_091"/>
    <s v="PROD_ID_003"/>
    <x v="84"/>
    <s v="Medium"/>
    <d v="2021-12-29T00:00:00"/>
    <x v="7"/>
    <x v="3"/>
    <x v="1"/>
    <n v="294"/>
    <s v="148.00"/>
    <s v="23.00"/>
    <n v="6.7619999999999996"/>
    <n v="609"/>
    <n v="6.1529999999999996"/>
    <d v="1934-03-01T00:00:00"/>
    <n v="43.512"/>
    <n v="-37.359000000000002"/>
  </r>
  <r>
    <x v="2"/>
    <x v="4"/>
    <x v="2"/>
    <s v="CUST_ID_101"/>
    <s v="PROD_ID_003"/>
    <x v="52"/>
    <s v="Medium"/>
    <d v="2021-05-07T00:00:00"/>
    <x v="10"/>
    <x v="2"/>
    <x v="1"/>
    <n v="4.5519999999999996"/>
    <s v="148.00"/>
    <s v="450.00"/>
    <s v="2,048,400"/>
    <n v="184.35599999999999"/>
    <s v="1,864,044"/>
    <s v="1,035.63"/>
    <n v="673.69600000000003"/>
    <s v="1,190,348"/>
  </r>
  <r>
    <x v="3"/>
    <x v="3"/>
    <x v="2"/>
    <s v="CUST_ID_028"/>
    <s v="PROD_ID_003"/>
    <x v="27"/>
    <s v="Medium"/>
    <d v="2020-02-21T00:00:00"/>
    <x v="4"/>
    <x v="1"/>
    <x v="0"/>
    <n v="1.5680000000000001"/>
    <s v="148.00"/>
    <s v="525.00"/>
    <n v="823.2"/>
    <n v="74.087999999999994"/>
    <n v="749.11199999999997"/>
    <s v="416.28"/>
    <n v="232.06399999999999"/>
    <n v="517.048"/>
  </r>
  <r>
    <x v="0"/>
    <x v="6"/>
    <x v="2"/>
    <s v="CUST_ID_007"/>
    <s v="PROD_ID_003"/>
    <x v="6"/>
    <s v="Medium"/>
    <d v="2020-11-24T00:00:00"/>
    <x v="6"/>
    <x v="3"/>
    <x v="0"/>
    <n v="680"/>
    <s v="148.00"/>
    <s v="188.00"/>
    <n v="127.84"/>
    <n v="11.506"/>
    <n v="116.334"/>
    <s v="64.50"/>
    <n v="100.64"/>
    <n v="15.694000000000001"/>
  </r>
  <r>
    <x v="0"/>
    <x v="5"/>
    <x v="2"/>
    <s v="CUST_ID_030"/>
    <s v="PROD_ID_003"/>
    <x v="29"/>
    <s v="Medium"/>
    <d v="2020-01-22T00:00:00"/>
    <x v="1"/>
    <x v="1"/>
    <x v="0"/>
    <n v="2.532"/>
    <s v="148.00"/>
    <s v="188.00"/>
    <n v="476.01600000000002"/>
    <n v="42.841000000000001"/>
    <n v="433.17500000000001"/>
    <s v="240.01"/>
    <n v="374.73599999999999"/>
    <n v="58.439"/>
  </r>
  <r>
    <x v="3"/>
    <x v="7"/>
    <x v="2"/>
    <s v="CUST_ID_016"/>
    <s v="PROD_ID_003"/>
    <x v="15"/>
    <s v="Medium"/>
    <d v="2021-06-01T00:00:00"/>
    <x v="11"/>
    <x v="2"/>
    <x v="1"/>
    <n v="1.5229999999999999"/>
    <s v="148.00"/>
    <s v="525.00"/>
    <n v="799.57500000000005"/>
    <n v="71.962000000000003"/>
    <n v="727.61300000000006"/>
    <s v="404.18"/>
    <n v="225.404"/>
    <n v="502.209"/>
  </r>
  <r>
    <x v="4"/>
    <x v="2"/>
    <x v="3"/>
    <s v="CUST_ID_147"/>
    <s v="PROD_ID_004"/>
    <x v="72"/>
    <s v="Medium"/>
    <d v="2020-11-22T00:00:00"/>
    <x v="6"/>
    <x v="3"/>
    <x v="0"/>
    <n v="2.347"/>
    <s v="308.00"/>
    <s v="18.00"/>
    <n v="42.246000000000002"/>
    <n v="3.802"/>
    <n v="38.444000000000003"/>
    <s v="21.36"/>
    <n v="722.87599999999998"/>
    <n v="-684.43200000000002"/>
  </r>
  <r>
    <x v="2"/>
    <x v="7"/>
    <x v="3"/>
    <s v="CUST_ID_032"/>
    <s v="PROD_ID_004"/>
    <x v="31"/>
    <s v="Medium"/>
    <d v="2021-12-26T00:00:00"/>
    <x v="7"/>
    <x v="3"/>
    <x v="1"/>
    <n v="3.1909999999999998"/>
    <s v="308.00"/>
    <s v="450.00"/>
    <s v="1,435,950"/>
    <n v="129.23599999999999"/>
    <s v="1,306,715"/>
    <s v="725.91"/>
    <n v="982.82799999999997"/>
    <n v="323.887"/>
  </r>
  <r>
    <x v="3"/>
    <x v="0"/>
    <x v="3"/>
    <s v="CUST_ID_033"/>
    <s v="PROD_ID_004"/>
    <x v="32"/>
    <s v="Medium"/>
    <d v="2021-11-21T00:00:00"/>
    <x v="6"/>
    <x v="3"/>
    <x v="1"/>
    <n v="1.6220000000000001"/>
    <s v="308.00"/>
    <s v="525.00"/>
    <n v="851.55"/>
    <n v="76.64"/>
    <n v="774.91099999999994"/>
    <s v="430.45"/>
    <n v="499.57600000000002"/>
    <n v="275.33499999999998"/>
  </r>
  <r>
    <x v="4"/>
    <x v="2"/>
    <x v="3"/>
    <s v="CUST_ID_067"/>
    <s v="PROD_ID_004"/>
    <x v="65"/>
    <s v="Medium"/>
    <d v="2020-11-07T00:00:00"/>
    <x v="6"/>
    <x v="3"/>
    <x v="0"/>
    <n v="1.056"/>
    <s v="308.00"/>
    <s v="18.00"/>
    <n v="19.007999999999999"/>
    <n v="1.7110000000000001"/>
    <n v="17.297000000000001"/>
    <d v="1961-09-01T00:00:00"/>
    <n v="325.24799999999999"/>
    <n v="-307.95100000000002"/>
  </r>
  <r>
    <x v="2"/>
    <x v="2"/>
    <x v="3"/>
    <s v="CUST_ID_075"/>
    <s v="PROD_ID_004"/>
    <x v="72"/>
    <s v="Medium"/>
    <d v="2020-01-24T00:00:00"/>
    <x v="1"/>
    <x v="1"/>
    <x v="0"/>
    <n v="2.2400000000000002"/>
    <s v="308.00"/>
    <s v="450.00"/>
    <s v="1,008,000"/>
    <n v="90.72"/>
    <n v="917.28"/>
    <s v="509.69"/>
    <n v="689.92"/>
    <n v="227.36"/>
  </r>
  <r>
    <x v="1"/>
    <x v="6"/>
    <x v="3"/>
    <s v="CUST_ID_087"/>
    <s v="PROD_ID_004"/>
    <x v="50"/>
    <s v="Medium"/>
    <d v="2021-10-25T00:00:00"/>
    <x v="9"/>
    <x v="3"/>
    <x v="1"/>
    <n v="1.472"/>
    <s v="308.00"/>
    <s v="23.00"/>
    <n v="33.856000000000002"/>
    <n v="3.0470000000000002"/>
    <n v="30.809000000000001"/>
    <s v="16.75"/>
    <n v="453.37599999999998"/>
    <n v="-422.56700000000001"/>
  </r>
  <r>
    <x v="0"/>
    <x v="4"/>
    <x v="3"/>
    <s v="CUST_ID_125"/>
    <s v="PROD_ID_004"/>
    <x v="52"/>
    <s v="Medium"/>
    <d v="2021-10-25T00:00:00"/>
    <x v="9"/>
    <x v="3"/>
    <x v="1"/>
    <n v="1.052"/>
    <s v="308.00"/>
    <s v="188.00"/>
    <n v="197.77600000000001"/>
    <n v="17.8"/>
    <n v="179.976"/>
    <s v="99.76"/>
    <n v="324.01600000000002"/>
    <n v="-144.04"/>
  </r>
  <r>
    <x v="3"/>
    <x v="7"/>
    <x v="5"/>
    <s v="CUST_ID_064"/>
    <s v="PROD_ID_006"/>
    <x v="62"/>
    <s v="Medium"/>
    <d v="2021-08-18T00:00:00"/>
    <x v="2"/>
    <x v="0"/>
    <x v="1"/>
    <n v="2.4849999999999999"/>
    <s v="320.00"/>
    <s v="525.00"/>
    <s v="1,304,625"/>
    <n v="117.416"/>
    <s v="1,187,209"/>
    <s v="659.61"/>
    <n v="795.2"/>
    <n v="392.00900000000001"/>
  </r>
  <r>
    <x v="3"/>
    <x v="6"/>
    <x v="5"/>
    <s v="CUST_ID_047"/>
    <s v="PROD_ID_006"/>
    <x v="46"/>
    <s v="Medium"/>
    <d v="2020-04-06T00:00:00"/>
    <x v="5"/>
    <x v="2"/>
    <x v="0"/>
    <n v="1.5229999999999999"/>
    <s v="320.00"/>
    <s v="525.00"/>
    <n v="799.57500000000005"/>
    <n v="71.962000000000003"/>
    <n v="727.61300000000006"/>
    <s v="404.18"/>
    <n v="487.36"/>
    <n v="240.25299999999999"/>
  </r>
  <r>
    <x v="3"/>
    <x v="4"/>
    <x v="5"/>
    <s v="CUST_ID_093"/>
    <s v="PROD_ID_006"/>
    <x v="56"/>
    <s v="Medium"/>
    <d v="2020-04-18T00:00:00"/>
    <x v="5"/>
    <x v="2"/>
    <x v="0"/>
    <n v="2.0329999999999999"/>
    <s v="320.00"/>
    <s v="30.00"/>
    <n v="60.99"/>
    <n v="5.4889999999999999"/>
    <n v="55.500999999999998"/>
    <s v="30.83"/>
    <n v="650.55999999999995"/>
    <n v="-595.05899999999997"/>
  </r>
  <r>
    <x v="3"/>
    <x v="7"/>
    <x v="4"/>
    <s v="CUST_ID_048"/>
    <s v="PROD_ID_005"/>
    <x v="47"/>
    <s v="Medium"/>
    <d v="2020-10-29T00:00:00"/>
    <x v="9"/>
    <x v="3"/>
    <x v="0"/>
    <n v="796"/>
    <s v="4.00"/>
    <s v="30.00"/>
    <n v="23.88"/>
    <n v="2.149"/>
    <n v="21.731000000000002"/>
    <d v="2025-07-12T00:00:00"/>
    <n v="3.1840000000000002"/>
    <n v="18.547000000000001"/>
  </r>
  <r>
    <x v="3"/>
    <x v="1"/>
    <x v="4"/>
    <s v="CUST_ID_042"/>
    <s v="PROD_ID_005"/>
    <x v="41"/>
    <s v="Medium"/>
    <d v="2020-09-13T00:00:00"/>
    <x v="0"/>
    <x v="0"/>
    <x v="0"/>
    <n v="983"/>
    <s v="4.00"/>
    <s v="11.00"/>
    <n v="10.813000000000001"/>
    <n v="973"/>
    <n v="9.84"/>
    <d v="2022-05-01T00:00:00"/>
    <n v="3.9319999999999999"/>
    <n v="5.9080000000000004"/>
  </r>
  <r>
    <x v="4"/>
    <x v="1"/>
    <x v="4"/>
    <s v="CUST_ID_010"/>
    <s v="PROD_ID_005"/>
    <x v="9"/>
    <s v="Medium"/>
    <d v="2021-01-21T00:00:00"/>
    <x v="1"/>
    <x v="1"/>
    <x v="1"/>
    <n v="1.8959999999999999"/>
    <s v="4.00"/>
    <s v="18.00"/>
    <n v="34.128"/>
    <n v="3.0720000000000001"/>
    <n v="31.056000000000001"/>
    <s v="17.25"/>
    <n v="7.5839999999999996"/>
    <n v="23.472000000000001"/>
  </r>
  <r>
    <x v="3"/>
    <x v="1"/>
    <x v="4"/>
    <s v="CUST_ID_066"/>
    <s v="PROD_ID_005"/>
    <x v="64"/>
    <s v="Medium"/>
    <d v="2020-10-26T00:00:00"/>
    <x v="9"/>
    <x v="3"/>
    <x v="0"/>
    <n v="625"/>
    <s v="4.00"/>
    <s v="11.00"/>
    <n v="6.875"/>
    <n v="619"/>
    <n v="6.2560000000000002"/>
    <d v="1932-03-01T00:00:00"/>
    <n v="2.5"/>
    <n v="3.7559999999999998"/>
  </r>
  <r>
    <x v="3"/>
    <x v="2"/>
    <x v="1"/>
    <s v="CUST_ID_027"/>
    <s v="PROD_ID_002"/>
    <x v="26"/>
    <s v="Medium"/>
    <d v="2020-01-06T00:00:00"/>
    <x v="1"/>
    <x v="1"/>
    <x v="0"/>
    <n v="1.1679999999999999"/>
    <s v="12.00"/>
    <s v="30.00"/>
    <n v="35.04"/>
    <n v="3.1539999999999999"/>
    <n v="31.885999999999999"/>
    <s v="17.71"/>
    <n v="14.016"/>
    <n v="17.87"/>
  </r>
  <r>
    <x v="3"/>
    <x v="7"/>
    <x v="1"/>
    <s v="CUST_ID_040"/>
    <s v="PROD_ID_002"/>
    <x v="39"/>
    <s v="Medium"/>
    <d v="2021-08-05T00:00:00"/>
    <x v="2"/>
    <x v="0"/>
    <x v="1"/>
    <n v="1.246"/>
    <s v="12.00"/>
    <s v="30.00"/>
    <n v="37.380000000000003"/>
    <n v="3.3639999999999999"/>
    <n v="34.015999999999998"/>
    <s v="18.89"/>
    <n v="14.952"/>
    <n v="19.064"/>
  </r>
  <r>
    <x v="3"/>
    <x v="7"/>
    <x v="1"/>
    <s v="CUST_ID_072"/>
    <s v="PROD_ID_002"/>
    <x v="69"/>
    <s v="Medium"/>
    <d v="2020-05-15T00:00:00"/>
    <x v="10"/>
    <x v="2"/>
    <x v="0"/>
    <n v="432"/>
    <s v="12.00"/>
    <s v="11.00"/>
    <n v="4.7519999999999998"/>
    <n v="428"/>
    <n v="4.3239999999999998"/>
    <d v="2029-02-01T00:00:00"/>
    <n v="5.1840000000000002"/>
    <n v="-860"/>
  </r>
  <r>
    <x v="4"/>
    <x v="2"/>
    <x v="2"/>
    <s v="CUST_ID_123"/>
    <s v="PROD_ID_003"/>
    <x v="72"/>
    <s v="Medium"/>
    <d v="2020-03-02T00:00:00"/>
    <x v="8"/>
    <x v="1"/>
    <x v="0"/>
    <n v="2.36"/>
    <s v="148.00"/>
    <s v="18.00"/>
    <n v="42.48"/>
    <n v="3.823"/>
    <n v="38.656999999999996"/>
    <s v="21.48"/>
    <n v="349.28"/>
    <n v="-310.62299999999999"/>
  </r>
  <r>
    <x v="1"/>
    <x v="2"/>
    <x v="2"/>
    <s v="CUST_ID_091"/>
    <s v="PROD_ID_003"/>
    <x v="84"/>
    <s v="Medium"/>
    <d v="2020-12-21T00:00:00"/>
    <x v="7"/>
    <x v="3"/>
    <x v="0"/>
    <n v="3.1539999999999999"/>
    <s v="148.00"/>
    <s v="23.00"/>
    <n v="72.542000000000002"/>
    <n v="6.5289999999999999"/>
    <n v="66.013000000000005"/>
    <s v="35.87"/>
    <n v="466.79199999999997"/>
    <n v="-400.779"/>
  </r>
  <r>
    <x v="3"/>
    <x v="7"/>
    <x v="3"/>
    <s v="CUST_ID_056"/>
    <s v="PROD_ID_004"/>
    <x v="55"/>
    <s v="Medium"/>
    <d v="2021-12-04T00:00:00"/>
    <x v="7"/>
    <x v="3"/>
    <x v="1"/>
    <n v="432"/>
    <s v="308.00"/>
    <s v="11.00"/>
    <n v="4.7519999999999998"/>
    <n v="428"/>
    <n v="4.3239999999999998"/>
    <d v="2029-02-01T00:00:00"/>
    <n v="133.05600000000001"/>
    <n v="-128.732"/>
  </r>
  <r>
    <x v="3"/>
    <x v="1"/>
    <x v="3"/>
    <s v="CUST_ID_034"/>
    <s v="PROD_ID_004"/>
    <x v="33"/>
    <s v="Medium"/>
    <d v="2021-02-13T00:00:00"/>
    <x v="4"/>
    <x v="1"/>
    <x v="1"/>
    <n v="625"/>
    <s v="308.00"/>
    <s v="11.00"/>
    <n v="6.875"/>
    <n v="619"/>
    <n v="6.2560000000000002"/>
    <d v="1932-03-01T00:00:00"/>
    <n v="192.5"/>
    <n v="-186.244"/>
  </r>
  <r>
    <x v="3"/>
    <x v="4"/>
    <x v="5"/>
    <s v="CUST_ID_093"/>
    <s v="PROD_ID_006"/>
    <x v="56"/>
    <s v="Medium"/>
    <d v="2021-06-25T00:00:00"/>
    <x v="11"/>
    <x v="2"/>
    <x v="1"/>
    <n v="1.246"/>
    <s v="320.00"/>
    <s v="30.00"/>
    <n v="37.380000000000003"/>
    <n v="3.3639999999999999"/>
    <n v="34.015999999999998"/>
    <s v="18.89"/>
    <n v="398.72"/>
    <n v="-364.70400000000001"/>
  </r>
  <r>
    <x v="1"/>
    <x v="6"/>
    <x v="5"/>
    <s v="CUST_ID_103"/>
    <s v="PROD_ID_006"/>
    <x v="91"/>
    <s v="Medium"/>
    <d v="2020-05-09T00:00:00"/>
    <x v="10"/>
    <x v="2"/>
    <x v="0"/>
    <n v="1.9570000000000001"/>
    <s v="320.00"/>
    <s v="23.00"/>
    <n v="45.011000000000003"/>
    <n v="4.0510000000000002"/>
    <n v="40.96"/>
    <s v="22.26"/>
    <n v="626.24"/>
    <n v="-585.28"/>
  </r>
  <r>
    <x v="3"/>
    <x v="2"/>
    <x v="0"/>
    <s v="CUST_ID_099"/>
    <s v="PROD_ID_001"/>
    <x v="72"/>
    <s v="High"/>
    <d v="2020-10-22T00:00:00"/>
    <x v="9"/>
    <x v="3"/>
    <x v="0"/>
    <n v="2.794"/>
    <s v="6.00"/>
    <s v="11.00"/>
    <n v="30.734000000000002"/>
    <n v="3.073"/>
    <n v="27.661000000000001"/>
    <s v="14.67"/>
    <n v="16.763999999999999"/>
    <n v="10.897"/>
  </r>
  <r>
    <x v="0"/>
    <x v="0"/>
    <x v="4"/>
    <s v="CUST_ID_009"/>
    <s v="PROD_ID_005"/>
    <x v="8"/>
    <s v="High"/>
    <d v="2020-10-25T00:00:00"/>
    <x v="9"/>
    <x v="3"/>
    <x v="0"/>
    <n v="4.1349999999999998"/>
    <s v="4.00"/>
    <s v="188.00"/>
    <n v="777.38"/>
    <n v="77.738"/>
    <n v="699.64200000000005"/>
    <s v="387.62"/>
    <n v="16.54"/>
    <n v="683.10199999999998"/>
  </r>
  <r>
    <x v="3"/>
    <x v="2"/>
    <x v="0"/>
    <s v="CUST_ID_099"/>
    <s v="PROD_ID_001"/>
    <x v="72"/>
    <s v="High"/>
    <d v="2021-06-07T00:00:00"/>
    <x v="11"/>
    <x v="2"/>
    <x v="1"/>
    <n v="2.7759999999999998"/>
    <s v="6.00"/>
    <s v="525.00"/>
    <s v="1,457,400"/>
    <n v="145.74"/>
    <s v="1,311,660"/>
    <s v="728.60"/>
    <n v="16.655999999999999"/>
    <s v="1,295,004"/>
  </r>
  <r>
    <x v="1"/>
    <x v="0"/>
    <x v="0"/>
    <s v="CUST_ID_145"/>
    <s v="PROD_ID_001"/>
    <x v="70"/>
    <s v="High"/>
    <d v="2020-04-23T00:00:00"/>
    <x v="5"/>
    <x v="2"/>
    <x v="0"/>
    <n v="2.4860000000000002"/>
    <s v="6.00"/>
    <s v="23.00"/>
    <n v="57.177999999999997"/>
    <n v="5.718"/>
    <n v="51.46"/>
    <s v="27.97"/>
    <n v="14.916"/>
    <n v="36.543999999999997"/>
  </r>
  <r>
    <x v="3"/>
    <x v="3"/>
    <x v="1"/>
    <s v="CUST_ID_052"/>
    <s v="PROD_ID_002"/>
    <x v="51"/>
    <s v="High"/>
    <d v="2020-01-16T00:00:00"/>
    <x v="1"/>
    <x v="1"/>
    <x v="0"/>
    <n v="2.3450000000000002"/>
    <s v="12.00"/>
    <s v="30.00"/>
    <n v="70.349999999999994"/>
    <n v="7.0350000000000001"/>
    <n v="63.314999999999998"/>
    <s v="35.17"/>
    <n v="28.14"/>
    <n v="35.174999999999997"/>
  </r>
  <r>
    <x v="2"/>
    <x v="2"/>
    <x v="1"/>
    <s v="CUST_ID_003"/>
    <s v="PROD_ID_002"/>
    <x v="2"/>
    <s v="High"/>
    <d v="2021-04-22T00:00:00"/>
    <x v="5"/>
    <x v="2"/>
    <x v="1"/>
    <n v="709"/>
    <s v="12.00"/>
    <s v="450.00"/>
    <n v="319.05"/>
    <n v="31.905000000000001"/>
    <n v="287.14499999999998"/>
    <s v="159.57"/>
    <n v="8.5079999999999991"/>
    <n v="278.637"/>
  </r>
  <r>
    <x v="3"/>
    <x v="7"/>
    <x v="1"/>
    <s v="CUST_ID_072"/>
    <s v="PROD_ID_002"/>
    <x v="69"/>
    <s v="High"/>
    <d v="2021-10-24T00:00:00"/>
    <x v="9"/>
    <x v="3"/>
    <x v="1"/>
    <n v="289"/>
    <s v="12.00"/>
    <s v="30.00"/>
    <n v="8.67"/>
    <n v="867"/>
    <n v="7.8029999999999999"/>
    <d v="1934-04-01T00:00:00"/>
    <n v="3.468"/>
    <n v="4.335"/>
  </r>
  <r>
    <x v="1"/>
    <x v="7"/>
    <x v="2"/>
    <s v="CUST_ID_096"/>
    <s v="PROD_ID_003"/>
    <x v="88"/>
    <s v="High"/>
    <d v="2020-05-19T00:00:00"/>
    <x v="10"/>
    <x v="2"/>
    <x v="0"/>
    <n v="817"/>
    <s v="148.00"/>
    <s v="23.00"/>
    <n v="18.791"/>
    <n v="1.879"/>
    <n v="16.911999999999999"/>
    <d v="2019-09-01T00:00:00"/>
    <n v="120.916"/>
    <n v="-104.004"/>
  </r>
  <r>
    <x v="1"/>
    <x v="7"/>
    <x v="2"/>
    <s v="CUST_ID_096"/>
    <s v="PROD_ID_003"/>
    <x v="88"/>
    <s v="High"/>
    <d v="2021-02-05T00:00:00"/>
    <x v="4"/>
    <x v="1"/>
    <x v="1"/>
    <n v="612"/>
    <s v="148.00"/>
    <s v="23.00"/>
    <n v="14.076000000000001"/>
    <n v="1.4079999999999999"/>
    <n v="12.667999999999999"/>
    <d v="1989-06-01T00:00:00"/>
    <n v="90.575999999999993"/>
    <n v="-77.908000000000001"/>
  </r>
  <r>
    <x v="1"/>
    <x v="6"/>
    <x v="2"/>
    <s v="CUST_ID_135"/>
    <s v="PROD_ID_003"/>
    <x v="50"/>
    <s v="High"/>
    <d v="2020-12-07T00:00:00"/>
    <x v="7"/>
    <x v="3"/>
    <x v="0"/>
    <n v="948"/>
    <s v="148.00"/>
    <s v="23.00"/>
    <n v="21.803999999999998"/>
    <n v="2.1800000000000002"/>
    <n v="19.623999999999999"/>
    <d v="1967-10-01T00:00:00"/>
    <n v="140.304"/>
    <n v="-120.68"/>
  </r>
  <r>
    <x v="3"/>
    <x v="5"/>
    <x v="2"/>
    <s v="CUST_ID_054"/>
    <s v="PROD_ID_003"/>
    <x v="53"/>
    <s v="High"/>
    <d v="2020-06-14T00:00:00"/>
    <x v="11"/>
    <x v="2"/>
    <x v="0"/>
    <n v="767"/>
    <s v="148.00"/>
    <s v="525.00"/>
    <n v="402.67500000000001"/>
    <n v="40.268000000000001"/>
    <n v="362.40800000000002"/>
    <s v="201.29"/>
    <n v="113.51600000000001"/>
    <n v="248.892"/>
  </r>
  <r>
    <x v="0"/>
    <x v="6"/>
    <x v="2"/>
    <s v="CUST_ID_015"/>
    <s v="PROD_ID_003"/>
    <x v="14"/>
    <s v="High"/>
    <d v="2021-05-10T00:00:00"/>
    <x v="10"/>
    <x v="2"/>
    <x v="1"/>
    <n v="1.915"/>
    <s v="148.00"/>
    <s v="188.00"/>
    <n v="360.02"/>
    <n v="36.002000000000002"/>
    <n v="324.01799999999997"/>
    <s v="179.55"/>
    <n v="283.42"/>
    <n v="40.597999999999999"/>
  </r>
  <r>
    <x v="3"/>
    <x v="3"/>
    <x v="2"/>
    <s v="CUST_ID_028"/>
    <s v="PROD_ID_003"/>
    <x v="27"/>
    <s v="High"/>
    <d v="2021-06-21T00:00:00"/>
    <x v="11"/>
    <x v="2"/>
    <x v="1"/>
    <n v="289"/>
    <s v="148.00"/>
    <s v="30.00"/>
    <n v="8.67"/>
    <n v="867"/>
    <n v="7.8029999999999999"/>
    <d v="1934-04-01T00:00:00"/>
    <n v="42.771999999999998"/>
    <n v="-34.969000000000001"/>
  </r>
  <r>
    <x v="3"/>
    <x v="3"/>
    <x v="2"/>
    <s v="CUST_ID_028"/>
    <s v="PROD_ID_003"/>
    <x v="27"/>
    <s v="High"/>
    <d v="2021-10-07T00:00:00"/>
    <x v="9"/>
    <x v="3"/>
    <x v="1"/>
    <n v="3.198"/>
    <s v="148.00"/>
    <s v="11.00"/>
    <n v="35.177999999999997"/>
    <n v="3.5179999999999998"/>
    <n v="31.66"/>
    <s v="16.79"/>
    <n v="473.30399999999997"/>
    <n v="-441.64400000000001"/>
  </r>
  <r>
    <x v="2"/>
    <x v="4"/>
    <x v="2"/>
    <s v="CUST_ID_061"/>
    <s v="PROD_ID_003"/>
    <x v="59"/>
    <s v="High"/>
    <d v="2021-01-17T00:00:00"/>
    <x v="1"/>
    <x v="1"/>
    <x v="1"/>
    <n v="1.024"/>
    <s v="148.00"/>
    <s v="450.00"/>
    <n v="460.8"/>
    <n v="46.08"/>
    <n v="414.72"/>
    <s v="230.31"/>
    <n v="151.55199999999999"/>
    <n v="263.16800000000001"/>
  </r>
  <r>
    <x v="0"/>
    <x v="4"/>
    <x v="3"/>
    <s v="CUST_ID_125"/>
    <s v="PROD_ID_004"/>
    <x v="52"/>
    <s v="High"/>
    <d v="2021-01-30T00:00:00"/>
    <x v="1"/>
    <x v="1"/>
    <x v="1"/>
    <n v="409"/>
    <s v="308.00"/>
    <s v="188.00"/>
    <n v="76.891999999999996"/>
    <n v="7.6890000000000001"/>
    <n v="69.203000000000003"/>
    <s v="38.36"/>
    <n v="125.97199999999999"/>
    <n v="-56.768999999999998"/>
  </r>
  <r>
    <x v="1"/>
    <x v="4"/>
    <x v="3"/>
    <s v="CUST_ID_045"/>
    <s v="PROD_ID_004"/>
    <x v="44"/>
    <s v="High"/>
    <d v="2020-08-30T00:00:00"/>
    <x v="2"/>
    <x v="0"/>
    <x v="0"/>
    <n v="769"/>
    <s v="308.00"/>
    <s v="23.00"/>
    <n v="17.687000000000001"/>
    <n v="1.7689999999999999"/>
    <n v="15.917999999999999"/>
    <d v="1965-08-01T00:00:00"/>
    <n v="236.852"/>
    <n v="-220.934"/>
  </r>
  <r>
    <x v="3"/>
    <x v="0"/>
    <x v="3"/>
    <s v="CUST_ID_033"/>
    <s v="PROD_ID_004"/>
    <x v="32"/>
    <s v="High"/>
    <d v="2020-09-04T00:00:00"/>
    <x v="0"/>
    <x v="0"/>
    <x v="0"/>
    <n v="3.3679999999999999"/>
    <s v="308.00"/>
    <s v="525.00"/>
    <s v="1,768,200"/>
    <n v="176.82"/>
    <s v="1,591,380"/>
    <s v="884.21"/>
    <s v="1,037,344"/>
    <n v="554.03599999999994"/>
  </r>
  <r>
    <x v="2"/>
    <x v="0"/>
    <x v="3"/>
    <s v="CUST_ID_017"/>
    <s v="PROD_ID_004"/>
    <x v="16"/>
    <s v="High"/>
    <d v="2021-01-20T00:00:00"/>
    <x v="1"/>
    <x v="1"/>
    <x v="1"/>
    <n v="518"/>
    <s v="308.00"/>
    <s v="450.00"/>
    <n v="233.1"/>
    <n v="23.31"/>
    <n v="209.79"/>
    <s v="116.64"/>
    <n v="159.54400000000001"/>
    <n v="50.246000000000002"/>
  </r>
  <r>
    <x v="0"/>
    <x v="0"/>
    <x v="3"/>
    <s v="CUST_ID_105"/>
    <s v="PROD_ID_004"/>
    <x v="38"/>
    <s v="High"/>
    <d v="2020-08-18T00:00:00"/>
    <x v="2"/>
    <x v="0"/>
    <x v="0"/>
    <n v="3.0350000000000001"/>
    <s v="308.00"/>
    <s v="188.00"/>
    <n v="570.58000000000004"/>
    <n v="57.058"/>
    <n v="513.52200000000005"/>
    <s v="284.51"/>
    <n v="934.78"/>
    <n v="-421.25799999999998"/>
  </r>
  <r>
    <x v="0"/>
    <x v="3"/>
    <x v="5"/>
    <s v="CUST_ID_148"/>
    <s v="PROD_ID_006"/>
    <x v="73"/>
    <s v="High"/>
    <d v="2021-12-08T00:00:00"/>
    <x v="7"/>
    <x v="3"/>
    <x v="1"/>
    <n v="695"/>
    <s v="320.00"/>
    <s v="188.00"/>
    <n v="130.66"/>
    <n v="13.066000000000001"/>
    <n v="117.59399999999999"/>
    <s v="65.14"/>
    <n v="222.4"/>
    <n v="-104.806"/>
  </r>
  <r>
    <x v="3"/>
    <x v="6"/>
    <x v="5"/>
    <s v="CUST_ID_047"/>
    <s v="PROD_ID_006"/>
    <x v="46"/>
    <s v="High"/>
    <d v="2021-11-13T00:00:00"/>
    <x v="6"/>
    <x v="3"/>
    <x v="1"/>
    <n v="2.6880000000000002"/>
    <s v="320.00"/>
    <s v="525.00"/>
    <s v="1,411,200"/>
    <n v="141.12"/>
    <s v="1,270,080"/>
    <s v="705.60"/>
    <n v="860.16"/>
    <n v="409.92"/>
  </r>
  <r>
    <x v="2"/>
    <x v="7"/>
    <x v="5"/>
    <s v="CUST_ID_144"/>
    <s v="PROD_ID_006"/>
    <x v="69"/>
    <s v="High"/>
    <d v="2021-08-09T00:00:00"/>
    <x v="2"/>
    <x v="0"/>
    <x v="1"/>
    <n v="3.5920000000000001"/>
    <s v="320.00"/>
    <s v="450.00"/>
    <s v="1,616,400"/>
    <n v="161.63999999999999"/>
    <s v="1,454,760"/>
    <s v="808.11"/>
    <s v="1,149,440"/>
    <n v="305.32"/>
  </r>
  <r>
    <x v="4"/>
    <x v="6"/>
    <x v="5"/>
    <s v="CUST_ID_095"/>
    <s v="PROD_ID_006"/>
    <x v="87"/>
    <s v="High"/>
    <d v="2020-11-26T00:00:00"/>
    <x v="6"/>
    <x v="3"/>
    <x v="0"/>
    <n v="4.2249999999999996"/>
    <s v="320.00"/>
    <s v="18.00"/>
    <n v="76.05"/>
    <n v="7.6050000000000004"/>
    <n v="68.444999999999993"/>
    <s v="38.02"/>
    <s v="1,352,000"/>
    <s v="-1,283,555"/>
  </r>
  <r>
    <x v="3"/>
    <x v="4"/>
    <x v="5"/>
    <s v="CUST_ID_093"/>
    <s v="PROD_ID_006"/>
    <x v="56"/>
    <s v="High"/>
    <d v="2020-04-18T00:00:00"/>
    <x v="5"/>
    <x v="2"/>
    <x v="0"/>
    <n v="2.4470000000000001"/>
    <s v="320.00"/>
    <s v="30.00"/>
    <n v="73.41"/>
    <n v="7.3410000000000002"/>
    <n v="66.069000000000003"/>
    <s v="36.70"/>
    <n v="783.04"/>
    <n v="-716.971"/>
  </r>
  <r>
    <x v="4"/>
    <x v="1"/>
    <x v="5"/>
    <s v="CUST_ID_098"/>
    <s v="PROD_ID_006"/>
    <x v="71"/>
    <s v="High"/>
    <d v="2021-05-02T00:00:00"/>
    <x v="10"/>
    <x v="2"/>
    <x v="1"/>
    <n v="3.089"/>
    <s v="320.00"/>
    <s v="18.00"/>
    <n v="55.601999999999997"/>
    <n v="5.56"/>
    <n v="50.042000000000002"/>
    <s v="27.80"/>
    <n v="988.48"/>
    <n v="-938.43799999999999"/>
  </r>
  <r>
    <x v="3"/>
    <x v="6"/>
    <x v="5"/>
    <s v="CUST_ID_047"/>
    <s v="PROD_ID_006"/>
    <x v="46"/>
    <s v="High"/>
    <d v="2021-01-16T00:00:00"/>
    <x v="1"/>
    <x v="1"/>
    <x v="1"/>
    <n v="848"/>
    <s v="320.00"/>
    <s v="525.00"/>
    <n v="445.2"/>
    <n v="44.52"/>
    <n v="400.68"/>
    <s v="222.71"/>
    <n v="271.36"/>
    <n v="129.32"/>
  </r>
  <r>
    <x v="1"/>
    <x v="2"/>
    <x v="5"/>
    <s v="CUST_ID_019"/>
    <s v="PROD_ID_006"/>
    <x v="18"/>
    <s v="High"/>
    <d v="2020-11-24T00:00:00"/>
    <x v="6"/>
    <x v="3"/>
    <x v="0"/>
    <n v="2.4860000000000002"/>
    <s v="320.00"/>
    <s v="23.00"/>
    <n v="57.177999999999997"/>
    <n v="5.718"/>
    <n v="51.46"/>
    <s v="27.97"/>
    <n v="795.52"/>
    <n v="-744.06"/>
  </r>
  <r>
    <x v="2"/>
    <x v="4"/>
    <x v="5"/>
    <s v="CUST_ID_149"/>
    <s v="PROD_ID_006"/>
    <x v="52"/>
    <s v="High"/>
    <d v="2021-12-11T00:00:00"/>
    <x v="7"/>
    <x v="3"/>
    <x v="1"/>
    <n v="1.024"/>
    <s v="320.00"/>
    <s v="450.00"/>
    <n v="460.8"/>
    <n v="46.08"/>
    <n v="414.72"/>
    <s v="230.31"/>
    <n v="327.68"/>
    <n v="87.04"/>
  </r>
  <r>
    <x v="3"/>
    <x v="3"/>
    <x v="1"/>
    <s v="CUST_ID_052"/>
    <s v="PROD_ID_002"/>
    <x v="51"/>
    <s v="High"/>
    <d v="2021-09-16T00:00:00"/>
    <x v="0"/>
    <x v="0"/>
    <x v="1"/>
    <n v="3.0379999999999998"/>
    <s v="12.00"/>
    <s v="11.00"/>
    <n v="33.417999999999999"/>
    <n v="3.6760000000000002"/>
    <n v="29.742000000000001"/>
    <s v="15.77"/>
    <n v="36.456000000000003"/>
    <n v="-6.7140000000000004"/>
  </r>
  <r>
    <x v="1"/>
    <x v="3"/>
    <x v="2"/>
    <s v="CUST_ID_140"/>
    <s v="PROD_ID_003"/>
    <x v="85"/>
    <s v="High"/>
    <d v="2020-06-08T00:00:00"/>
    <x v="11"/>
    <x v="2"/>
    <x v="0"/>
    <n v="461"/>
    <s v="148.00"/>
    <s v="23.00"/>
    <n v="10.603"/>
    <n v="1.1659999999999999"/>
    <n v="9.4369999999999994"/>
    <d v="2013-05-01T00:00:00"/>
    <n v="68.227999999999994"/>
    <n v="-58.790999999999997"/>
  </r>
  <r>
    <x v="4"/>
    <x v="1"/>
    <x v="2"/>
    <s v="CUST_ID_114"/>
    <s v="PROD_ID_003"/>
    <x v="83"/>
    <s v="High"/>
    <d v="2020-11-28T00:00:00"/>
    <x v="6"/>
    <x v="3"/>
    <x v="0"/>
    <n v="566"/>
    <s v="148.00"/>
    <s v="18.00"/>
    <n v="10.188000000000001"/>
    <n v="1.121"/>
    <n v="9.0670000000000002"/>
    <d v="2025-04-05T00:00:00"/>
    <n v="83.768000000000001"/>
    <n v="-74.700999999999993"/>
  </r>
  <r>
    <x v="3"/>
    <x v="0"/>
    <x v="3"/>
    <s v="CUST_ID_033"/>
    <s v="PROD_ID_004"/>
    <x v="32"/>
    <s v="High"/>
    <d v="2021-02-06T00:00:00"/>
    <x v="4"/>
    <x v="1"/>
    <x v="1"/>
    <n v="1.895"/>
    <s v="308.00"/>
    <s v="11.00"/>
    <n v="20.844999999999999"/>
    <n v="2.2930000000000001"/>
    <n v="18.552"/>
    <d v="1984-09-01T00:00:00"/>
    <n v="583.66"/>
    <n v="-565.10799999999995"/>
  </r>
  <r>
    <x v="1"/>
    <x v="5"/>
    <x v="5"/>
    <s v="CUST_ID_046"/>
    <s v="PROD_ID_006"/>
    <x v="45"/>
    <s v="High"/>
    <d v="2020-04-15T00:00:00"/>
    <x v="5"/>
    <x v="2"/>
    <x v="0"/>
    <n v="3.839"/>
    <s v="320.00"/>
    <s v="23.00"/>
    <n v="88.296999999999997"/>
    <n v="9.7129999999999992"/>
    <n v="78.584000000000003"/>
    <s v="42.71"/>
    <s v="1,228,480"/>
    <s v="-1,149,896"/>
  </r>
  <r>
    <x v="4"/>
    <x v="1"/>
    <x v="5"/>
    <s v="CUST_ID_098"/>
    <s v="PROD_ID_006"/>
    <x v="71"/>
    <s v="High"/>
    <d v="2020-10-13T00:00:00"/>
    <x v="9"/>
    <x v="3"/>
    <x v="0"/>
    <n v="566"/>
    <s v="320.00"/>
    <s v="18.00"/>
    <n v="10.188000000000001"/>
    <n v="1.121"/>
    <n v="9.0670000000000002"/>
    <d v="2025-04-05T00:00:00"/>
    <n v="181.12"/>
    <n v="-172.053"/>
  </r>
  <r>
    <x v="4"/>
    <x v="3"/>
    <x v="4"/>
    <s v="CUST_ID_036"/>
    <s v="PROD_ID_005"/>
    <x v="35"/>
    <s v="High"/>
    <d v="2020-10-04T00:00:00"/>
    <x v="9"/>
    <x v="3"/>
    <x v="0"/>
    <n v="2.3239999999999998"/>
    <s v="4.00"/>
    <s v="18.00"/>
    <n v="41.832000000000001"/>
    <n v="4.6020000000000003"/>
    <n v="37.229999999999997"/>
    <s v="20.69"/>
    <n v="9.2959999999999994"/>
    <n v="27.934000000000001"/>
  </r>
  <r>
    <x v="3"/>
    <x v="7"/>
    <x v="4"/>
    <s v="CUST_ID_048"/>
    <s v="PROD_ID_005"/>
    <x v="47"/>
    <s v="High"/>
    <d v="2020-05-23T00:00:00"/>
    <x v="10"/>
    <x v="2"/>
    <x v="0"/>
    <n v="950"/>
    <s v="4.00"/>
    <s v="525.00"/>
    <n v="498.75"/>
    <n v="54.863"/>
    <n v="443.88799999999998"/>
    <s v="246.71"/>
    <n v="3.8"/>
    <n v="440.08800000000002"/>
  </r>
  <r>
    <x v="2"/>
    <x v="3"/>
    <x v="4"/>
    <s v="CUST_ID_020"/>
    <s v="PROD_ID_005"/>
    <x v="19"/>
    <s v="High"/>
    <d v="2021-08-31T00:00:00"/>
    <x v="2"/>
    <x v="0"/>
    <x v="1"/>
    <n v="3.3730000000000002"/>
    <s v="4.00"/>
    <s v="450.00"/>
    <s v="1,517,850"/>
    <n v="166.964"/>
    <s v="1,350,887"/>
    <s v="750.54"/>
    <n v="13.492000000000001"/>
    <s v="1,337,395"/>
  </r>
  <r>
    <x v="0"/>
    <x v="4"/>
    <x v="4"/>
    <s v="CUST_ID_085"/>
    <s v="PROD_ID_005"/>
    <x v="80"/>
    <s v="High"/>
    <d v="2021-04-05T00:00:00"/>
    <x v="5"/>
    <x v="2"/>
    <x v="1"/>
    <n v="2.9289999999999998"/>
    <s v="4.00"/>
    <s v="188.00"/>
    <n v="550.65200000000004"/>
    <n v="60.572000000000003"/>
    <n v="490.08"/>
    <s v="271.56"/>
    <n v="11.715999999999999"/>
    <n v="478.36399999999998"/>
  </r>
  <r>
    <x v="3"/>
    <x v="4"/>
    <x v="0"/>
    <s v="CUST_ID_037"/>
    <s v="PROD_ID_001"/>
    <x v="36"/>
    <s v="High"/>
    <d v="2021-04-14T00:00:00"/>
    <x v="5"/>
    <x v="2"/>
    <x v="1"/>
    <n v="919"/>
    <s v="6.00"/>
    <s v="525.00"/>
    <n v="482.47500000000002"/>
    <n v="53.072000000000003"/>
    <n v="429.40300000000002"/>
    <s v="238.61"/>
    <n v="5.5140000000000002"/>
    <n v="423.88900000000001"/>
  </r>
  <r>
    <x v="1"/>
    <x v="7"/>
    <x v="0"/>
    <s v="CUST_ID_112"/>
    <s v="PROD_ID_001"/>
    <x v="81"/>
    <s v="High"/>
    <d v="2021-08-30T00:00:00"/>
    <x v="2"/>
    <x v="0"/>
    <x v="1"/>
    <n v="2.5880000000000001"/>
    <s v="6.00"/>
    <s v="23.00"/>
    <n v="59.524000000000001"/>
    <n v="6.548"/>
    <n v="52.975999999999999"/>
    <s v="28.80"/>
    <n v="15.528"/>
    <n v="37.448"/>
  </r>
  <r>
    <x v="2"/>
    <x v="5"/>
    <x v="1"/>
    <s v="CUST_ID_070"/>
    <s v="PROD_ID_002"/>
    <x v="67"/>
    <s v="High"/>
    <d v="2020-12-31T00:00:00"/>
    <x v="7"/>
    <x v="3"/>
    <x v="0"/>
    <n v="1.048"/>
    <s v="12.00"/>
    <s v="450.00"/>
    <n v="471.6"/>
    <n v="51.875999999999998"/>
    <n v="419.72399999999999"/>
    <s v="233.09"/>
    <n v="12.576000000000001"/>
    <n v="407.14800000000002"/>
  </r>
  <r>
    <x v="3"/>
    <x v="7"/>
    <x v="1"/>
    <s v="CUST_ID_040"/>
    <s v="PROD_ID_002"/>
    <x v="39"/>
    <s v="High"/>
    <d v="2020-12-27T00:00:00"/>
    <x v="7"/>
    <x v="3"/>
    <x v="0"/>
    <n v="1.3460000000000001"/>
    <s v="12.00"/>
    <s v="30.00"/>
    <n v="40.380000000000003"/>
    <n v="4.4420000000000002"/>
    <n v="35.938000000000002"/>
    <s v="19.97"/>
    <n v="16.152000000000001"/>
    <n v="19.786000000000001"/>
  </r>
  <r>
    <x v="3"/>
    <x v="3"/>
    <x v="1"/>
    <s v="CUST_ID_004"/>
    <s v="PROD_ID_002"/>
    <x v="3"/>
    <s v="High"/>
    <d v="2020-12-03T00:00:00"/>
    <x v="7"/>
    <x v="3"/>
    <x v="0"/>
    <n v="2.5249999999999999"/>
    <s v="12.00"/>
    <s v="525.00"/>
    <s v="1,325,625"/>
    <n v="145.81899999999999"/>
    <s v="1,179,806"/>
    <s v="655.55"/>
    <n v="30.3"/>
    <s v="1,149,506"/>
  </r>
  <r>
    <x v="4"/>
    <x v="3"/>
    <x v="1"/>
    <s v="CUST_ID_060"/>
    <s v="PROD_ID_002"/>
    <x v="41"/>
    <s v="High"/>
    <d v="2021-04-20T00:00:00"/>
    <x v="5"/>
    <x v="2"/>
    <x v="1"/>
    <n v="4.8310000000000004"/>
    <s v="12.00"/>
    <s v="18.00"/>
    <n v="86.957999999999998"/>
    <n v="9.5649999999999995"/>
    <n v="77.393000000000001"/>
    <s v="43.00"/>
    <n v="57.972000000000001"/>
    <n v="19.420999999999999"/>
  </r>
  <r>
    <x v="4"/>
    <x v="0"/>
    <x v="1"/>
    <s v="CUST_ID_025"/>
    <s v="PROD_ID_002"/>
    <x v="24"/>
    <s v="High"/>
    <d v="2020-12-01T00:00:00"/>
    <x v="7"/>
    <x v="3"/>
    <x v="0"/>
    <n v="2.911"/>
    <s v="12.00"/>
    <s v="18.00"/>
    <n v="52.398000000000003"/>
    <n v="5.7640000000000002"/>
    <n v="46.634"/>
    <s v="25.90"/>
    <n v="34.932000000000002"/>
    <n v="11.702"/>
  </r>
  <r>
    <x v="3"/>
    <x v="3"/>
    <x v="1"/>
    <s v="CUST_ID_004"/>
    <s v="PROD_ID_002"/>
    <x v="3"/>
    <s v="High"/>
    <d v="2020-03-12T00:00:00"/>
    <x v="8"/>
    <x v="1"/>
    <x v="0"/>
    <n v="2.8730000000000002"/>
    <s v="12.00"/>
    <s v="30.00"/>
    <n v="86.19"/>
    <n v="9.4809999999999999"/>
    <n v="76.709000000000003"/>
    <s v="42.61"/>
    <n v="34.475999999999999"/>
    <n v="42.232999999999997"/>
  </r>
  <r>
    <x v="1"/>
    <x v="3"/>
    <x v="1"/>
    <s v="CUST_ID_044"/>
    <s v="PROD_ID_002"/>
    <x v="43"/>
    <s v="High"/>
    <d v="2021-11-24T00:00:00"/>
    <x v="6"/>
    <x v="3"/>
    <x v="1"/>
    <n v="2.3809999999999998"/>
    <s v="12.00"/>
    <s v="23.00"/>
    <n v="54.762999999999998"/>
    <n v="6.024"/>
    <n v="48.738999999999997"/>
    <s v="26.49"/>
    <n v="28.571999999999999"/>
    <n v="20.167000000000002"/>
  </r>
  <r>
    <x v="0"/>
    <x v="2"/>
    <x v="1"/>
    <s v="CUST_ID_051"/>
    <s v="PROD_ID_002"/>
    <x v="50"/>
    <s v="High"/>
    <d v="2020-10-05T00:00:00"/>
    <x v="9"/>
    <x v="3"/>
    <x v="0"/>
    <n v="2.9289999999999998"/>
    <s v="12.00"/>
    <s v="188.00"/>
    <n v="550.65200000000004"/>
    <n v="60.572000000000003"/>
    <n v="490.08"/>
    <s v="271.56"/>
    <n v="35.148000000000003"/>
    <n v="454.93200000000002"/>
  </r>
  <r>
    <x v="2"/>
    <x v="5"/>
    <x v="1"/>
    <s v="CUST_ID_070"/>
    <s v="PROD_ID_002"/>
    <x v="67"/>
    <s v="High"/>
    <d v="2020-10-17T00:00:00"/>
    <x v="9"/>
    <x v="3"/>
    <x v="0"/>
    <n v="1.639"/>
    <s v="12.00"/>
    <s v="450.00"/>
    <n v="737.55"/>
    <n v="81.131"/>
    <n v="656.42"/>
    <s v="364.72"/>
    <n v="19.667999999999999"/>
    <n v="636.75199999999995"/>
  </r>
  <r>
    <x v="3"/>
    <x v="7"/>
    <x v="2"/>
    <s v="CUST_ID_016"/>
    <s v="PROD_ID_003"/>
    <x v="15"/>
    <s v="High"/>
    <d v="2020-04-08T00:00:00"/>
    <x v="5"/>
    <x v="2"/>
    <x v="0"/>
    <n v="2.17"/>
    <s v="148.00"/>
    <s v="11.00"/>
    <n v="23.87"/>
    <n v="2.6259999999999999"/>
    <n v="21.244"/>
    <d v="2026-11-01T00:00:00"/>
    <n v="321.16000000000003"/>
    <n v="-299.916"/>
  </r>
  <r>
    <x v="4"/>
    <x v="0"/>
    <x v="3"/>
    <s v="CUST_ID_081"/>
    <s v="PROD_ID_004"/>
    <x v="76"/>
    <s v="High"/>
    <d v="2020-10-03T00:00:00"/>
    <x v="9"/>
    <x v="3"/>
    <x v="0"/>
    <n v="2.081"/>
    <s v="308.00"/>
    <s v="18.00"/>
    <n v="37.457999999999998"/>
    <n v="4.12"/>
    <n v="33.338000000000001"/>
    <s v="18.52"/>
    <n v="640.94799999999998"/>
    <n v="-607.61"/>
  </r>
  <r>
    <x v="0"/>
    <x v="4"/>
    <x v="3"/>
    <s v="CUST_ID_125"/>
    <s v="PROD_ID_004"/>
    <x v="52"/>
    <s v="High"/>
    <d v="2020-06-04T00:00:00"/>
    <x v="11"/>
    <x v="2"/>
    <x v="0"/>
    <n v="665"/>
    <s v="308.00"/>
    <s v="188.00"/>
    <n v="125.02"/>
    <n v="13.752000000000001"/>
    <n v="111.268"/>
    <s v="61.63"/>
    <n v="204.82"/>
    <n v="-93.552000000000007"/>
  </r>
  <r>
    <x v="0"/>
    <x v="0"/>
    <x v="5"/>
    <s v="CUST_ID_073"/>
    <s v="PROD_ID_006"/>
    <x v="70"/>
    <s v="High"/>
    <d v="2020-11-07T00:00:00"/>
    <x v="6"/>
    <x v="3"/>
    <x v="0"/>
    <n v="3.798"/>
    <s v="320.00"/>
    <s v="188.00"/>
    <n v="714.024"/>
    <n v="78.543000000000006"/>
    <n v="635.48099999999999"/>
    <s v="352.11"/>
    <s v="1,215,360"/>
    <n v="-579.87900000000002"/>
  </r>
  <r>
    <x v="3"/>
    <x v="4"/>
    <x v="5"/>
    <s v="CUST_ID_093"/>
    <s v="PROD_ID_006"/>
    <x v="56"/>
    <s v="High"/>
    <d v="2021-04-26T00:00:00"/>
    <x v="5"/>
    <x v="2"/>
    <x v="1"/>
    <n v="3.1549999999999998"/>
    <s v="320.00"/>
    <s v="30.00"/>
    <n v="94.65"/>
    <n v="10.412000000000001"/>
    <n v="84.239000000000004"/>
    <s v="46.80"/>
    <s v="1,009,600"/>
    <n v="-925.36199999999997"/>
  </r>
  <r>
    <x v="0"/>
    <x v="1"/>
    <x v="5"/>
    <s v="CUST_ID_138"/>
    <s v="PROD_ID_006"/>
    <x v="83"/>
    <s v="High"/>
    <d v="2020-07-21T00:00:00"/>
    <x v="3"/>
    <x v="0"/>
    <x v="0"/>
    <n v="1.72"/>
    <s v="320.00"/>
    <s v="188.00"/>
    <n v="323.36"/>
    <n v="35.57"/>
    <n v="287.79000000000002"/>
    <s v="159.42"/>
    <n v="550.4"/>
    <n v="-262.61"/>
  </r>
  <r>
    <x v="1"/>
    <x v="7"/>
    <x v="5"/>
    <s v="CUST_ID_104"/>
    <s v="PROD_ID_006"/>
    <x v="92"/>
    <s v="High"/>
    <d v="2020-10-27T00:00:00"/>
    <x v="9"/>
    <x v="3"/>
    <x v="0"/>
    <n v="2.5880000000000001"/>
    <s v="320.00"/>
    <s v="23.00"/>
    <n v="59.524000000000001"/>
    <n v="6.548"/>
    <n v="52.975999999999999"/>
    <s v="28.80"/>
    <n v="828.16"/>
    <n v="-775.18399999999997"/>
  </r>
  <r>
    <x v="3"/>
    <x v="1"/>
    <x v="4"/>
    <s v="CUST_ID_066"/>
    <s v="PROD_ID_005"/>
    <x v="64"/>
    <s v="High"/>
    <d v="2021-12-07T00:00:00"/>
    <x v="7"/>
    <x v="3"/>
    <x v="1"/>
    <n v="1.0629999999999999"/>
    <s v="4.00"/>
    <s v="525.00"/>
    <n v="558.07500000000005"/>
    <n v="66.968999999999994"/>
    <n v="491.10599999999999"/>
    <s v="272.89"/>
    <n v="4.2519999999999998"/>
    <n v="486.85399999999998"/>
  </r>
  <r>
    <x v="0"/>
    <x v="3"/>
    <x v="4"/>
    <s v="CUST_ID_100"/>
    <s v="PROD_ID_005"/>
    <x v="73"/>
    <s v="High"/>
    <d v="2020-10-18T00:00:00"/>
    <x v="9"/>
    <x v="3"/>
    <x v="0"/>
    <n v="2.5870000000000002"/>
    <s v="4.00"/>
    <s v="188.00"/>
    <n v="486.35599999999999"/>
    <n v="58.363"/>
    <n v="427.99299999999999"/>
    <s v="237.16"/>
    <n v="10.348000000000001"/>
    <n v="417.64499999999998"/>
  </r>
  <r>
    <x v="1"/>
    <x v="1"/>
    <x v="4"/>
    <s v="CUST_ID_090"/>
    <s v="PROD_ID_005"/>
    <x v="83"/>
    <s v="High"/>
    <d v="2020-06-16T00:00:00"/>
    <x v="11"/>
    <x v="2"/>
    <x v="0"/>
    <n v="3.2269999999999999"/>
    <s v="4.00"/>
    <s v="23.00"/>
    <n v="74.221000000000004"/>
    <n v="8.907"/>
    <n v="65.313999999999993"/>
    <s v="35.49"/>
    <n v="12.907999999999999"/>
    <n v="52.405999999999999"/>
  </r>
  <r>
    <x v="1"/>
    <x v="0"/>
    <x v="0"/>
    <s v="CUST_ID_113"/>
    <s v="PROD_ID_001"/>
    <x v="82"/>
    <s v="High"/>
    <d v="2021-11-02T00:00:00"/>
    <x v="6"/>
    <x v="3"/>
    <x v="1"/>
    <n v="812"/>
    <s v="6.00"/>
    <s v="23.00"/>
    <n v="18.675999999999998"/>
    <n v="2.2410000000000001"/>
    <n v="16.434999999999999"/>
    <d v="1994-08-01T00:00:00"/>
    <n v="4.8719999999999999"/>
    <n v="11.563000000000001"/>
  </r>
  <r>
    <x v="2"/>
    <x v="5"/>
    <x v="0"/>
    <s v="CUST_ID_078"/>
    <s v="PROD_ID_001"/>
    <x v="75"/>
    <s v="High"/>
    <d v="2021-12-03T00:00:00"/>
    <x v="7"/>
    <x v="3"/>
    <x v="1"/>
    <n v="2.1280000000000001"/>
    <s v="6.00"/>
    <s v="450.00"/>
    <n v="957.6"/>
    <n v="114.91200000000001"/>
    <n v="842.68799999999999"/>
    <s v="468.07"/>
    <n v="12.768000000000001"/>
    <n v="829.92"/>
  </r>
  <r>
    <x v="3"/>
    <x v="0"/>
    <x v="0"/>
    <s v="CUST_ID_049"/>
    <s v="PROD_ID_001"/>
    <x v="48"/>
    <s v="High"/>
    <d v="2020-12-02T00:00:00"/>
    <x v="7"/>
    <x v="3"/>
    <x v="0"/>
    <n v="2.9039999999999999"/>
    <s v="6.00"/>
    <s v="11.00"/>
    <n v="31.943999999999999"/>
    <n v="3.8330000000000002"/>
    <n v="28.111000000000001"/>
    <s v="14.91"/>
    <n v="17.423999999999999"/>
    <n v="10.686999999999999"/>
  </r>
  <r>
    <x v="3"/>
    <x v="2"/>
    <x v="0"/>
    <s v="CUST_ID_043"/>
    <s v="PROD_ID_001"/>
    <x v="42"/>
    <s v="High"/>
    <d v="2021-05-07T00:00:00"/>
    <x v="10"/>
    <x v="2"/>
    <x v="1"/>
    <n v="3.2810000000000001"/>
    <s v="6.00"/>
    <s v="11.00"/>
    <n v="36.091000000000001"/>
    <n v="4.3310000000000004"/>
    <n v="31.76"/>
    <s v="16.84"/>
    <n v="19.686"/>
    <n v="12.074"/>
  </r>
  <r>
    <x v="2"/>
    <x v="3"/>
    <x v="1"/>
    <s v="CUST_ID_116"/>
    <s v="PROD_ID_002"/>
    <x v="85"/>
    <s v="High"/>
    <d v="2021-09-03T00:00:00"/>
    <x v="0"/>
    <x v="0"/>
    <x v="1"/>
    <n v="4.194"/>
    <s v="12.00"/>
    <s v="450.00"/>
    <s v="1,887,300"/>
    <n v="226.476"/>
    <s v="1,660,824"/>
    <s v="922.68"/>
    <n v="50.328000000000003"/>
    <s v="1,610,496"/>
  </r>
  <r>
    <x v="3"/>
    <x v="7"/>
    <x v="1"/>
    <s v="CUST_ID_040"/>
    <s v="PROD_ID_002"/>
    <x v="39"/>
    <s v="High"/>
    <d v="2020-06-26T00:00:00"/>
    <x v="11"/>
    <x v="2"/>
    <x v="0"/>
    <n v="1.0629999999999999"/>
    <s v="12.00"/>
    <s v="525.00"/>
    <n v="558.07500000000005"/>
    <n v="66.968999999999994"/>
    <n v="491.10599999999999"/>
    <s v="272.89"/>
    <n v="12.756"/>
    <n v="478.35"/>
  </r>
  <r>
    <x v="0"/>
    <x v="7"/>
    <x v="1"/>
    <s v="CUST_ID_024"/>
    <s v="PROD_ID_002"/>
    <x v="23"/>
    <s v="High"/>
    <d v="2020-06-24T00:00:00"/>
    <x v="11"/>
    <x v="2"/>
    <x v="0"/>
    <n v="2.5870000000000002"/>
    <s v="12.00"/>
    <s v="188.00"/>
    <n v="486.35599999999999"/>
    <n v="58.363"/>
    <n v="427.99299999999999"/>
    <s v="237.16"/>
    <n v="31.044"/>
    <n v="396.94900000000001"/>
  </r>
  <r>
    <x v="3"/>
    <x v="7"/>
    <x v="1"/>
    <s v="CUST_ID_040"/>
    <s v="PROD_ID_002"/>
    <x v="39"/>
    <s v="High"/>
    <d v="2021-05-02T00:00:00"/>
    <x v="10"/>
    <x v="2"/>
    <x v="1"/>
    <n v="1.0860000000000001"/>
    <s v="12.00"/>
    <s v="30.00"/>
    <n v="32.58"/>
    <n v="3.91"/>
    <n v="28.67"/>
    <s v="15.93"/>
    <n v="13.032"/>
    <n v="15.638"/>
  </r>
  <r>
    <x v="3"/>
    <x v="3"/>
    <x v="1"/>
    <s v="CUST_ID_052"/>
    <s v="PROD_ID_002"/>
    <x v="51"/>
    <s v="High"/>
    <d v="2020-07-12T00:00:00"/>
    <x v="3"/>
    <x v="0"/>
    <x v="0"/>
    <n v="1.913"/>
    <s v="12.00"/>
    <s v="525.00"/>
    <s v="1,004,325"/>
    <n v="120.51900000000001"/>
    <n v="883.80600000000004"/>
    <s v="490.95"/>
    <n v="22.956"/>
    <n v="860.85"/>
  </r>
  <r>
    <x v="2"/>
    <x v="4"/>
    <x v="1"/>
    <s v="CUST_ID_069"/>
    <s v="PROD_ID_002"/>
    <x v="56"/>
    <s v="High"/>
    <d v="2020-10-25T00:00:00"/>
    <x v="9"/>
    <x v="3"/>
    <x v="0"/>
    <n v="1.631"/>
    <s v="12.00"/>
    <s v="450.00"/>
    <n v="733.95"/>
    <n v="88.073999999999998"/>
    <n v="645.87599999999998"/>
    <s v="358.78"/>
    <n v="19.571999999999999"/>
    <n v="626.30399999999997"/>
  </r>
  <r>
    <x v="2"/>
    <x v="2"/>
    <x v="1"/>
    <s v="CUST_ID_003"/>
    <s v="PROD_ID_002"/>
    <x v="2"/>
    <s v="High"/>
    <d v="2021-04-23T00:00:00"/>
    <x v="5"/>
    <x v="2"/>
    <x v="1"/>
    <n v="2.58"/>
    <s v="12.00"/>
    <s v="450.00"/>
    <s v="1,161,000"/>
    <n v="139.32"/>
    <s v="1,021,680"/>
    <s v="567.60"/>
    <n v="30.96"/>
    <n v="990.72"/>
  </r>
  <r>
    <x v="3"/>
    <x v="7"/>
    <x v="1"/>
    <s v="CUST_ID_040"/>
    <s v="PROD_ID_002"/>
    <x v="39"/>
    <s v="High"/>
    <d v="2021-03-27T00:00:00"/>
    <x v="8"/>
    <x v="1"/>
    <x v="1"/>
    <n v="1.4359999999999999"/>
    <s v="12.00"/>
    <s v="525.00"/>
    <n v="753.9"/>
    <n v="90.468000000000004"/>
    <n v="663.43200000000002"/>
    <s v="368.68"/>
    <n v="17.231999999999999"/>
    <n v="646.20000000000005"/>
  </r>
  <r>
    <x v="3"/>
    <x v="7"/>
    <x v="1"/>
    <s v="CUST_ID_040"/>
    <s v="PROD_ID_002"/>
    <x v="39"/>
    <s v="High"/>
    <d v="2021-07-22T00:00:00"/>
    <x v="3"/>
    <x v="0"/>
    <x v="1"/>
    <n v="1.48"/>
    <s v="12.00"/>
    <s v="30.00"/>
    <n v="44.4"/>
    <n v="5.3280000000000003"/>
    <n v="39.072000000000003"/>
    <s v="21.70"/>
    <n v="17.760000000000002"/>
    <n v="21.312000000000001"/>
  </r>
  <r>
    <x v="3"/>
    <x v="6"/>
    <x v="2"/>
    <s v="CUST_ID_031"/>
    <s v="PROD_ID_003"/>
    <x v="30"/>
    <s v="High"/>
    <d v="2021-02-06T00:00:00"/>
    <x v="4"/>
    <x v="1"/>
    <x v="1"/>
    <n v="1.6739999999999999"/>
    <s v="148.00"/>
    <s v="525.00"/>
    <n v="878.85"/>
    <n v="105.462"/>
    <n v="773.38800000000003"/>
    <s v="429.66"/>
    <n v="247.75200000000001"/>
    <n v="525.63599999999997"/>
  </r>
  <r>
    <x v="3"/>
    <x v="0"/>
    <x v="2"/>
    <s v="CUST_ID_041"/>
    <s v="PROD_ID_003"/>
    <x v="40"/>
    <s v="High"/>
    <d v="2021-12-19T00:00:00"/>
    <x v="7"/>
    <x v="3"/>
    <x v="1"/>
    <n v="1.1830000000000001"/>
    <s v="148.00"/>
    <s v="525.00"/>
    <n v="621.07500000000005"/>
    <n v="74.528999999999996"/>
    <n v="546.54600000000005"/>
    <s v="303.69"/>
    <n v="175.084"/>
    <n v="371.46199999999999"/>
  </r>
  <r>
    <x v="3"/>
    <x v="6"/>
    <x v="2"/>
    <s v="CUST_ID_031"/>
    <s v="PROD_ID_003"/>
    <x v="30"/>
    <s v="High"/>
    <d v="2021-10-26T00:00:00"/>
    <x v="9"/>
    <x v="3"/>
    <x v="1"/>
    <n v="1.0860000000000001"/>
    <s v="148.00"/>
    <s v="30.00"/>
    <n v="32.58"/>
    <n v="3.91"/>
    <n v="28.67"/>
    <s v="15.93"/>
    <n v="160.72800000000001"/>
    <n v="-132.05799999999999"/>
  </r>
  <r>
    <x v="4"/>
    <x v="5"/>
    <x v="3"/>
    <s v="CUST_ID_142"/>
    <s v="PROD_ID_004"/>
    <x v="86"/>
    <s v="High"/>
    <d v="2021-01-04T00:00:00"/>
    <x v="1"/>
    <x v="1"/>
    <x v="1"/>
    <n v="2.5310000000000001"/>
    <s v="308.00"/>
    <s v="18.00"/>
    <n v="45.558"/>
    <n v="5.4669999999999996"/>
    <n v="40.091000000000001"/>
    <s v="22.27"/>
    <n v="779.548"/>
    <n v="-739.45699999999999"/>
  </r>
  <r>
    <x v="1"/>
    <x v="6"/>
    <x v="3"/>
    <s v="CUST_ID_087"/>
    <s v="PROD_ID_004"/>
    <x v="50"/>
    <s v="High"/>
    <d v="2020-12-22T00:00:00"/>
    <x v="7"/>
    <x v="3"/>
    <x v="0"/>
    <n v="4.649"/>
    <s v="308.00"/>
    <s v="23.00"/>
    <n v="106.92700000000001"/>
    <n v="12.831"/>
    <n v="94.096000000000004"/>
    <s v="51.14"/>
    <s v="1,431,892"/>
    <s v="-1,337,796"/>
  </r>
  <r>
    <x v="3"/>
    <x v="0"/>
    <x v="3"/>
    <s v="CUST_ID_033"/>
    <s v="PROD_ID_004"/>
    <x v="32"/>
    <s v="High"/>
    <d v="2021-01-07T00:00:00"/>
    <x v="1"/>
    <x v="1"/>
    <x v="1"/>
    <n v="1.1830000000000001"/>
    <s v="308.00"/>
    <s v="525.00"/>
    <n v="621.07500000000005"/>
    <n v="74.528999999999996"/>
    <n v="546.54600000000005"/>
    <s v="303.69"/>
    <n v="364.36399999999998"/>
    <n v="182.18199999999999"/>
  </r>
  <r>
    <x v="0"/>
    <x v="4"/>
    <x v="3"/>
    <s v="CUST_ID_117"/>
    <s v="PROD_ID_004"/>
    <x v="56"/>
    <s v="High"/>
    <d v="2021-12-22T00:00:00"/>
    <x v="7"/>
    <x v="3"/>
    <x v="1"/>
    <n v="2.8639999999999999"/>
    <s v="308.00"/>
    <s v="188.00"/>
    <n v="538.43200000000002"/>
    <n v="64.611999999999995"/>
    <n v="473.82"/>
    <s v="262.57"/>
    <n v="882.11199999999997"/>
    <n v="-408.29199999999997"/>
  </r>
  <r>
    <x v="3"/>
    <x v="1"/>
    <x v="3"/>
    <s v="CUST_ID_034"/>
    <s v="PROD_ID_004"/>
    <x v="33"/>
    <s v="High"/>
    <d v="2020-04-17T00:00:00"/>
    <x v="5"/>
    <x v="2"/>
    <x v="0"/>
    <n v="1.48"/>
    <s v="308.00"/>
    <s v="30.00"/>
    <n v="44.4"/>
    <n v="5.3280000000000003"/>
    <n v="39.072000000000003"/>
    <s v="21.70"/>
    <n v="455.84"/>
    <n v="-416.76799999999997"/>
  </r>
  <r>
    <x v="3"/>
    <x v="7"/>
    <x v="5"/>
    <s v="CUST_ID_064"/>
    <s v="PROD_ID_006"/>
    <x v="62"/>
    <s v="High"/>
    <d v="2020-01-27T00:00:00"/>
    <x v="1"/>
    <x v="1"/>
    <x v="0"/>
    <n v="324"/>
    <s v="320.00"/>
    <s v="525.00"/>
    <n v="170.1"/>
    <n v="20.411999999999999"/>
    <n v="149.68799999999999"/>
    <s v="83.16"/>
    <n v="103.68"/>
    <n v="46.008000000000003"/>
  </r>
  <r>
    <x v="3"/>
    <x v="0"/>
    <x v="5"/>
    <s v="CUST_ID_065"/>
    <s v="PROD_ID_006"/>
    <x v="63"/>
    <s v="High"/>
    <d v="2021-01-13T00:00:00"/>
    <x v="1"/>
    <x v="1"/>
    <x v="1"/>
    <n v="4.1059999999999999"/>
    <s v="320.00"/>
    <s v="11.00"/>
    <n v="45.165999999999997"/>
    <n v="5.42"/>
    <n v="39.746000000000002"/>
    <d v="2025-08-21T00:00:00"/>
    <s v="1,313,920"/>
    <s v="-1,274,174"/>
  </r>
  <r>
    <x v="3"/>
    <x v="6"/>
    <x v="5"/>
    <s v="CUST_ID_047"/>
    <s v="PROD_ID_006"/>
    <x v="46"/>
    <s v="High"/>
    <d v="2021-04-13T00:00:00"/>
    <x v="5"/>
    <x v="2"/>
    <x v="1"/>
    <n v="3.2810000000000001"/>
    <s v="320.00"/>
    <s v="11.00"/>
    <n v="36.091000000000001"/>
    <n v="4.3310000000000004"/>
    <n v="31.76"/>
    <s v="16.84"/>
    <s v="1,049,920"/>
    <s v="-1,018,160"/>
  </r>
  <r>
    <x v="3"/>
    <x v="4"/>
    <x v="4"/>
    <s v="CUST_ID_021"/>
    <s v="PROD_ID_005"/>
    <x v="20"/>
    <s v="High"/>
    <d v="2021-08-11T00:00:00"/>
    <x v="2"/>
    <x v="0"/>
    <x v="1"/>
    <n v="3.0259999999999998"/>
    <s v="4.00"/>
    <s v="30.00"/>
    <n v="90.78"/>
    <n v="10.894"/>
    <n v="79.885999999999996"/>
    <s v="44.38"/>
    <n v="12.103999999999999"/>
    <n v="67.781999999999996"/>
  </r>
  <r>
    <x v="4"/>
    <x v="7"/>
    <x v="0"/>
    <s v="CUST_ID_120"/>
    <s v="PROD_ID_001"/>
    <x v="69"/>
    <s v="High"/>
    <d v="2020-07-12T00:00:00"/>
    <x v="3"/>
    <x v="0"/>
    <x v="0"/>
    <n v="3.1930000000000001"/>
    <s v="6.00"/>
    <s v="18.00"/>
    <n v="57.473999999999997"/>
    <n v="6.8970000000000002"/>
    <n v="50.576999999999998"/>
    <d v="2025-10-28T00:00:00"/>
    <n v="19.158000000000001"/>
    <n v="31.419"/>
  </r>
  <r>
    <x v="3"/>
    <x v="7"/>
    <x v="1"/>
    <s v="CUST_ID_072"/>
    <s v="PROD_ID_002"/>
    <x v="69"/>
    <s v="High"/>
    <d v="2020-05-19T00:00:00"/>
    <x v="10"/>
    <x v="2"/>
    <x v="0"/>
    <n v="1.837"/>
    <s v="12.00"/>
    <s v="30.00"/>
    <n v="55.11"/>
    <n v="6.6130000000000004"/>
    <n v="48.497"/>
    <s v="26.95"/>
    <n v="22.044"/>
    <n v="26.452999999999999"/>
  </r>
  <r>
    <x v="3"/>
    <x v="7"/>
    <x v="3"/>
    <s v="CUST_ID_008"/>
    <s v="PROD_ID_004"/>
    <x v="7"/>
    <s v="High"/>
    <d v="2020-03-23T00:00:00"/>
    <x v="8"/>
    <x v="1"/>
    <x v="0"/>
    <n v="1.7889999999999999"/>
    <s v="308.00"/>
    <s v="11.00"/>
    <n v="19.678999999999998"/>
    <n v="2.3610000000000002"/>
    <n v="17.318000000000001"/>
    <d v="2018-09-01T00:00:00"/>
    <n v="551.01199999999994"/>
    <n v="-533.69399999999996"/>
  </r>
  <r>
    <x v="3"/>
    <x v="7"/>
    <x v="3"/>
    <s v="CUST_ID_056"/>
    <s v="PROD_ID_004"/>
    <x v="55"/>
    <s v="High"/>
    <d v="2020-09-16T00:00:00"/>
    <x v="0"/>
    <x v="0"/>
    <x v="0"/>
    <n v="1.837"/>
    <s v="308.00"/>
    <s v="30.00"/>
    <n v="55.11"/>
    <n v="6.6130000000000004"/>
    <n v="48.497"/>
    <s v="26.95"/>
    <n v="565.79600000000005"/>
    <n v="-517.29899999999998"/>
  </r>
  <r>
    <x v="1"/>
    <x v="7"/>
    <x v="4"/>
    <s v="CUST_ID_136"/>
    <s v="PROD_ID_005"/>
    <x v="81"/>
    <s v="High"/>
    <d v="2020-12-04T00:00:00"/>
    <x v="7"/>
    <x v="3"/>
    <x v="0"/>
    <n v="3.08"/>
    <s v="4.00"/>
    <s v="23.00"/>
    <n v="70.84"/>
    <n v="9.2089999999999996"/>
    <n v="61.631"/>
    <s v="33.50"/>
    <n v="12.32"/>
    <n v="49.311"/>
  </r>
  <r>
    <x v="1"/>
    <x v="2"/>
    <x v="3"/>
    <s v="CUST_ID_139"/>
    <s v="PROD_ID_004"/>
    <x v="84"/>
    <s v="High"/>
    <d v="2020-06-21T00:00:00"/>
    <x v="11"/>
    <x v="2"/>
    <x v="0"/>
    <n v="3.08"/>
    <s v="308.00"/>
    <s v="23.00"/>
    <n v="70.84"/>
    <n v="9.2089999999999996"/>
    <n v="61.631"/>
    <s v="33.50"/>
    <n v="948.64"/>
    <n v="-887.00900000000001"/>
  </r>
  <r>
    <x v="3"/>
    <x v="1"/>
    <x v="4"/>
    <s v="CUST_ID_042"/>
    <s v="PROD_ID_005"/>
    <x v="41"/>
    <s v="High"/>
    <d v="2021-04-08T00:00:00"/>
    <x v="5"/>
    <x v="2"/>
    <x v="1"/>
    <n v="1.1080000000000001"/>
    <s v="4.00"/>
    <s v="525.00"/>
    <n v="581.70000000000005"/>
    <n v="75.620999999999995"/>
    <n v="506.07900000000001"/>
    <s v="281.05"/>
    <n v="4.4320000000000004"/>
    <n v="501.64699999999999"/>
  </r>
  <r>
    <x v="3"/>
    <x v="4"/>
    <x v="4"/>
    <s v="CUST_ID_021"/>
    <s v="PROD_ID_005"/>
    <x v="20"/>
    <s v="High"/>
    <d v="2020-07-27T00:00:00"/>
    <x v="3"/>
    <x v="0"/>
    <x v="0"/>
    <n v="2.1480000000000001"/>
    <s v="4.00"/>
    <s v="525.00"/>
    <s v="1,127,700"/>
    <n v="146.601"/>
    <n v="981.09900000000005"/>
    <s v="545.06"/>
    <n v="8.5920000000000005"/>
    <n v="972.50699999999995"/>
  </r>
  <r>
    <x v="3"/>
    <x v="2"/>
    <x v="0"/>
    <s v="CUST_ID_099"/>
    <s v="PROD_ID_001"/>
    <x v="72"/>
    <s v="High"/>
    <d v="2021-11-24T00:00:00"/>
    <x v="6"/>
    <x v="3"/>
    <x v="1"/>
    <n v="1.179"/>
    <s v="6.00"/>
    <s v="525.00"/>
    <n v="618.97500000000002"/>
    <n v="80.466999999999999"/>
    <n v="538.50800000000004"/>
    <s v="299.17"/>
    <n v="7.0739999999999998"/>
    <n v="531.43399999999997"/>
  </r>
  <r>
    <x v="3"/>
    <x v="2"/>
    <x v="0"/>
    <s v="CUST_ID_099"/>
    <s v="PROD_ID_001"/>
    <x v="72"/>
    <s v="High"/>
    <d v="2021-05-21T00:00:00"/>
    <x v="10"/>
    <x v="2"/>
    <x v="1"/>
    <n v="1.5580000000000001"/>
    <s v="6.00"/>
    <s v="11.00"/>
    <n v="17.138000000000002"/>
    <n v="2.2280000000000002"/>
    <n v="14.91"/>
    <d v="1990-07-01T00:00:00"/>
    <n v="9.3480000000000008"/>
    <n v="5.5620000000000003"/>
  </r>
  <r>
    <x v="4"/>
    <x v="7"/>
    <x v="0"/>
    <s v="CUST_ID_120"/>
    <s v="PROD_ID_001"/>
    <x v="69"/>
    <s v="High"/>
    <d v="2020-07-10T00:00:00"/>
    <x v="3"/>
    <x v="0"/>
    <x v="0"/>
    <n v="725"/>
    <s v="6.00"/>
    <s v="18.00"/>
    <n v="13.05"/>
    <n v="1.6970000000000001"/>
    <n v="11.353999999999999"/>
    <d v="1931-06-01T00:00:00"/>
    <n v="4.3499999999999996"/>
    <n v="7.0039999999999996"/>
  </r>
  <r>
    <x v="3"/>
    <x v="0"/>
    <x v="0"/>
    <s v="CUST_ID_049"/>
    <s v="PROD_ID_001"/>
    <x v="48"/>
    <s v="High"/>
    <d v="2021-03-21T00:00:00"/>
    <x v="8"/>
    <x v="1"/>
    <x v="1"/>
    <n v="2.706"/>
    <s v="6.00"/>
    <s v="30.00"/>
    <n v="81.180000000000007"/>
    <n v="10.553000000000001"/>
    <n v="70.626999999999995"/>
    <s v="39.24"/>
    <n v="16.236000000000001"/>
    <n v="54.390999999999998"/>
  </r>
  <r>
    <x v="3"/>
    <x v="2"/>
    <x v="0"/>
    <s v="CUST_ID_043"/>
    <s v="PROD_ID_001"/>
    <x v="42"/>
    <s v="High"/>
    <d v="2020-04-16T00:00:00"/>
    <x v="5"/>
    <x v="2"/>
    <x v="0"/>
    <n v="1.4990000000000001"/>
    <s v="6.00"/>
    <s v="30.00"/>
    <n v="44.97"/>
    <n v="5.8460000000000001"/>
    <n v="39.124000000000002"/>
    <s v="21.73"/>
    <n v="8.9939999999999998"/>
    <n v="30.13"/>
  </r>
  <r>
    <x v="3"/>
    <x v="2"/>
    <x v="1"/>
    <s v="CUST_ID_027"/>
    <s v="PROD_ID_002"/>
    <x v="26"/>
    <s v="High"/>
    <d v="2020-09-27T00:00:00"/>
    <x v="0"/>
    <x v="0"/>
    <x v="0"/>
    <n v="1.726"/>
    <s v="12.00"/>
    <s v="11.00"/>
    <n v="18.986000000000001"/>
    <n v="2.468"/>
    <n v="16.518000000000001"/>
    <d v="1976-08-01T00:00:00"/>
    <n v="20.712"/>
    <n v="-4.194"/>
  </r>
  <r>
    <x v="2"/>
    <x v="4"/>
    <x v="1"/>
    <s v="CUST_ID_069"/>
    <s v="PROD_ID_002"/>
    <x v="56"/>
    <s v="High"/>
    <d v="2021-06-23T00:00:00"/>
    <x v="11"/>
    <x v="2"/>
    <x v="1"/>
    <n v="968"/>
    <s v="12.00"/>
    <s v="450.00"/>
    <n v="435.6"/>
    <n v="56.628"/>
    <n v="378.97199999999998"/>
    <s v="210.63"/>
    <n v="11.616"/>
    <n v="367.35599999999999"/>
  </r>
  <r>
    <x v="3"/>
    <x v="2"/>
    <x v="1"/>
    <s v="CUST_ID_027"/>
    <s v="PROD_ID_002"/>
    <x v="26"/>
    <s v="High"/>
    <d v="2021-01-22T00:00:00"/>
    <x v="1"/>
    <x v="1"/>
    <x v="1"/>
    <n v="3.169"/>
    <s v="12.00"/>
    <s v="30.00"/>
    <n v="95.07"/>
    <n v="12.359"/>
    <n v="82.710999999999999"/>
    <s v="45.95"/>
    <n v="38.027999999999999"/>
    <n v="44.683"/>
  </r>
  <r>
    <x v="3"/>
    <x v="7"/>
    <x v="1"/>
    <s v="CUST_ID_072"/>
    <s v="PROD_ID_002"/>
    <x v="69"/>
    <s v="High"/>
    <d v="2021-10-27T00:00:00"/>
    <x v="9"/>
    <x v="3"/>
    <x v="1"/>
    <n v="3.25"/>
    <s v="12.00"/>
    <s v="30.00"/>
    <n v="97.5"/>
    <n v="12.675000000000001"/>
    <n v="84.825000000000003"/>
    <s v="47.12"/>
    <n v="39"/>
    <n v="45.825000000000003"/>
  </r>
  <r>
    <x v="3"/>
    <x v="3"/>
    <x v="1"/>
    <s v="CUST_ID_004"/>
    <s v="PROD_ID_002"/>
    <x v="3"/>
    <s v="High"/>
    <d v="2020-11-21T00:00:00"/>
    <x v="6"/>
    <x v="3"/>
    <x v="0"/>
    <n v="3.1579999999999999"/>
    <s v="12.00"/>
    <s v="525.00"/>
    <s v="1,657,950"/>
    <n v="215.53399999999999"/>
    <s v="1,442,417"/>
    <s v="801.44"/>
    <n v="37.896000000000001"/>
    <s v="1,404,521"/>
  </r>
  <r>
    <x v="0"/>
    <x v="1"/>
    <x v="1"/>
    <s v="CUST_ID_122"/>
    <s v="PROD_ID_002"/>
    <x v="71"/>
    <s v="High"/>
    <d v="2021-10-24T00:00:00"/>
    <x v="9"/>
    <x v="3"/>
    <x v="1"/>
    <n v="1.9"/>
    <s v="12.00"/>
    <s v="188.00"/>
    <n v="357.2"/>
    <n v="46.436"/>
    <n v="310.76400000000001"/>
    <s v="172.15"/>
    <n v="22.8"/>
    <n v="287.964"/>
  </r>
  <r>
    <x v="4"/>
    <x v="6"/>
    <x v="1"/>
    <s v="CUST_ID_071"/>
    <s v="PROD_ID_002"/>
    <x v="68"/>
    <s v="High"/>
    <d v="2020-08-30T00:00:00"/>
    <x v="2"/>
    <x v="0"/>
    <x v="0"/>
    <n v="685"/>
    <s v="12.00"/>
    <s v="18.00"/>
    <n v="12.33"/>
    <n v="1.603"/>
    <n v="10.727"/>
    <d v="1996-05-01T00:00:00"/>
    <n v="8.2200000000000006"/>
    <n v="2.5070000000000001"/>
  </r>
  <r>
    <x v="3"/>
    <x v="3"/>
    <x v="1"/>
    <s v="CUST_ID_052"/>
    <s v="PROD_ID_002"/>
    <x v="51"/>
    <s v="High"/>
    <d v="2021-11-18T00:00:00"/>
    <x v="6"/>
    <x v="3"/>
    <x v="1"/>
    <n v="3.2349999999999999"/>
    <s v="12.00"/>
    <s v="11.00"/>
    <n v="35.585000000000001"/>
    <n v="4.6260000000000003"/>
    <n v="30.959"/>
    <s v="16.42"/>
    <n v="38.82"/>
    <n v="-7.8609999999999998"/>
  </r>
  <r>
    <x v="1"/>
    <x v="5"/>
    <x v="1"/>
    <s v="CUST_ID_006"/>
    <s v="PROD_ID_002"/>
    <x v="5"/>
    <s v="High"/>
    <d v="2021-01-29T00:00:00"/>
    <x v="1"/>
    <x v="1"/>
    <x v="1"/>
    <n v="1.8779999999999999"/>
    <s v="12.00"/>
    <s v="23.00"/>
    <n v="43.194000000000003"/>
    <n v="5.6150000000000002"/>
    <n v="37.579000000000001"/>
    <s v="20.42"/>
    <n v="22.536000000000001"/>
    <n v="15.042999999999999"/>
  </r>
  <r>
    <x v="3"/>
    <x v="3"/>
    <x v="1"/>
    <s v="CUST_ID_004"/>
    <s v="PROD_ID_002"/>
    <x v="3"/>
    <s v="High"/>
    <d v="2020-12-27T00:00:00"/>
    <x v="7"/>
    <x v="3"/>
    <x v="0"/>
    <n v="1.4990000000000001"/>
    <s v="12.00"/>
    <s v="30.00"/>
    <n v="44.97"/>
    <n v="5.8460000000000001"/>
    <n v="39.124000000000002"/>
    <s v="21.73"/>
    <n v="17.988"/>
    <n v="21.135999999999999"/>
  </r>
  <r>
    <x v="3"/>
    <x v="7"/>
    <x v="1"/>
    <s v="CUST_ID_072"/>
    <s v="PROD_ID_002"/>
    <x v="69"/>
    <s v="High"/>
    <d v="2020-01-04T00:00:00"/>
    <x v="1"/>
    <x v="1"/>
    <x v="0"/>
    <n v="428"/>
    <s v="12.00"/>
    <s v="525.00"/>
    <n v="224.7"/>
    <n v="29.210999999999999"/>
    <n v="195.489"/>
    <s v="108.71"/>
    <n v="5.1360000000000001"/>
    <n v="190.35300000000001"/>
  </r>
  <r>
    <x v="4"/>
    <x v="5"/>
    <x v="1"/>
    <s v="CUST_ID_014"/>
    <s v="PROD_ID_002"/>
    <x v="13"/>
    <s v="High"/>
    <d v="2021-11-18T00:00:00"/>
    <x v="6"/>
    <x v="3"/>
    <x v="1"/>
    <n v="1.216"/>
    <s v="12.00"/>
    <s v="18.00"/>
    <n v="21.888000000000002"/>
    <n v="2.8450000000000002"/>
    <n v="19.042999999999999"/>
    <d v="1958-10-01T00:00:00"/>
    <n v="14.592000000000001"/>
    <n v="4.4509999999999996"/>
  </r>
  <r>
    <x v="1"/>
    <x v="5"/>
    <x v="2"/>
    <s v="CUST_ID_150"/>
    <s v="PROD_ID_003"/>
    <x v="90"/>
    <s v="High"/>
    <d v="2020-12-22T00:00:00"/>
    <x v="7"/>
    <x v="3"/>
    <x v="0"/>
    <n v="4.7969999999999997"/>
    <s v="148.00"/>
    <s v="23.00"/>
    <n v="110.331"/>
    <n v="14.343"/>
    <n v="95.988"/>
    <s v="52.17"/>
    <n v="709.95600000000002"/>
    <n v="-613.96799999999996"/>
  </r>
  <r>
    <x v="3"/>
    <x v="7"/>
    <x v="2"/>
    <s v="CUST_ID_016"/>
    <s v="PROD_ID_003"/>
    <x v="15"/>
    <s v="High"/>
    <d v="2021-03-05T00:00:00"/>
    <x v="8"/>
    <x v="1"/>
    <x v="1"/>
    <n v="3.1579999999999999"/>
    <s v="148.00"/>
    <s v="525.00"/>
    <s v="1,657,950"/>
    <n v="215.53399999999999"/>
    <s v="1,442,417"/>
    <s v="801.44"/>
    <n v="467.38400000000001"/>
    <n v="975.03300000000002"/>
  </r>
  <r>
    <x v="3"/>
    <x v="5"/>
    <x v="2"/>
    <s v="CUST_ID_054"/>
    <s v="PROD_ID_003"/>
    <x v="53"/>
    <s v="High"/>
    <d v="2020-05-07T00:00:00"/>
    <x v="10"/>
    <x v="2"/>
    <x v="0"/>
    <n v="1.4279999999999999"/>
    <s v="148.00"/>
    <s v="11.00"/>
    <n v="15.708"/>
    <n v="2.0419999999999998"/>
    <n v="13.666"/>
    <d v="2025-07-01T00:00:00"/>
    <n v="211.34399999999999"/>
    <n v="-197.678"/>
  </r>
  <r>
    <x v="4"/>
    <x v="3"/>
    <x v="2"/>
    <s v="CUST_ID_124"/>
    <s v="PROD_ID_003"/>
    <x v="73"/>
    <s v="High"/>
    <d v="2020-09-10T00:00:00"/>
    <x v="0"/>
    <x v="0"/>
    <x v="0"/>
    <n v="725"/>
    <s v="148.00"/>
    <s v="18.00"/>
    <n v="13.05"/>
    <n v="1.6970000000000001"/>
    <n v="11.353999999999999"/>
    <d v="1931-06-01T00:00:00"/>
    <n v="107.3"/>
    <n v="-95.947000000000003"/>
  </r>
  <r>
    <x v="4"/>
    <x v="3"/>
    <x v="2"/>
    <s v="CUST_ID_124"/>
    <s v="PROD_ID_003"/>
    <x v="73"/>
    <s v="High"/>
    <d v="2021-02-14T00:00:00"/>
    <x v="4"/>
    <x v="1"/>
    <x v="1"/>
    <n v="492"/>
    <s v="148.00"/>
    <s v="18.00"/>
    <n v="8.8559999999999999"/>
    <n v="1.151"/>
    <n v="7.7050000000000001"/>
    <d v="2028-04-01T00:00:00"/>
    <n v="72.816000000000003"/>
    <n v="-65.111000000000004"/>
  </r>
  <r>
    <x v="4"/>
    <x v="1"/>
    <x v="2"/>
    <s v="CUST_ID_114"/>
    <s v="PROD_ID_003"/>
    <x v="83"/>
    <s v="High"/>
    <d v="2021-08-17T00:00:00"/>
    <x v="2"/>
    <x v="0"/>
    <x v="1"/>
    <n v="1.216"/>
    <s v="148.00"/>
    <s v="18.00"/>
    <n v="21.888000000000002"/>
    <n v="2.8450000000000002"/>
    <n v="19.042999999999999"/>
    <d v="1958-10-01T00:00:00"/>
    <n v="179.96799999999999"/>
    <n v="-160.92500000000001"/>
  </r>
  <r>
    <x v="0"/>
    <x v="0"/>
    <x v="3"/>
    <s v="CUST_ID_105"/>
    <s v="PROD_ID_004"/>
    <x v="38"/>
    <s v="High"/>
    <d v="2020-09-14T00:00:00"/>
    <x v="0"/>
    <x v="0"/>
    <x v="0"/>
    <n v="1.9"/>
    <s v="308.00"/>
    <s v="188.00"/>
    <n v="357.2"/>
    <n v="46.436"/>
    <n v="310.76400000000001"/>
    <s v="172.15"/>
    <n v="585.20000000000005"/>
    <n v="-274.43599999999998"/>
  </r>
  <r>
    <x v="1"/>
    <x v="0"/>
    <x v="3"/>
    <s v="CUST_ID_137"/>
    <s v="PROD_ID_004"/>
    <x v="82"/>
    <s v="High"/>
    <d v="2021-06-21T00:00:00"/>
    <x v="11"/>
    <x v="2"/>
    <x v="1"/>
    <n v="1.8779999999999999"/>
    <s v="308.00"/>
    <s v="23.00"/>
    <n v="43.194000000000003"/>
    <n v="5.6150000000000002"/>
    <n v="37.579000000000001"/>
    <s v="20.42"/>
    <n v="578.42399999999998"/>
    <n v="-540.84500000000003"/>
  </r>
  <r>
    <x v="0"/>
    <x v="6"/>
    <x v="5"/>
    <s v="CUST_ID_143"/>
    <s v="PROD_ID_006"/>
    <x v="87"/>
    <s v="High"/>
    <d v="2020-08-22T00:00:00"/>
    <x v="2"/>
    <x v="0"/>
    <x v="0"/>
    <n v="1.9910000000000001"/>
    <s v="320.00"/>
    <s v="188.00"/>
    <n v="374.30799999999999"/>
    <n v="48.66"/>
    <n v="325.64800000000002"/>
    <s v="180.42"/>
    <n v="637.12"/>
    <n v="-311.47199999999998"/>
  </r>
  <r>
    <x v="3"/>
    <x v="0"/>
    <x v="5"/>
    <s v="CUST_ID_065"/>
    <s v="PROD_ID_006"/>
    <x v="63"/>
    <s v="High"/>
    <d v="2021-02-17T00:00:00"/>
    <x v="4"/>
    <x v="1"/>
    <x v="1"/>
    <n v="1.4279999999999999"/>
    <s v="320.00"/>
    <s v="11.00"/>
    <n v="15.708"/>
    <n v="2.0419999999999998"/>
    <n v="13.666"/>
    <d v="2025-07-01T00:00:00"/>
    <n v="456.96"/>
    <n v="-443.29399999999998"/>
  </r>
  <r>
    <x v="4"/>
    <x v="3"/>
    <x v="5"/>
    <s v="CUST_ID_076"/>
    <s v="PROD_ID_006"/>
    <x v="73"/>
    <s v="High"/>
    <d v="2021-01-22T00:00:00"/>
    <x v="1"/>
    <x v="1"/>
    <x v="1"/>
    <n v="492"/>
    <s v="320.00"/>
    <s v="18.00"/>
    <n v="8.8559999999999999"/>
    <n v="1.151"/>
    <n v="7.7050000000000001"/>
    <d v="2028-04-01T00:00:00"/>
    <n v="157.44"/>
    <n v="-149.73500000000001"/>
  </r>
  <r>
    <x v="3"/>
    <x v="1"/>
    <x v="4"/>
    <s v="CUST_ID_066"/>
    <s v="PROD_ID_005"/>
    <x v="64"/>
    <s v="High"/>
    <d v="2020-03-03T00:00:00"/>
    <x v="8"/>
    <x v="1"/>
    <x v="0"/>
    <n v="3.0950000000000002"/>
    <s v="4.00"/>
    <s v="30.00"/>
    <n v="92.85"/>
    <n v="12.999000000000001"/>
    <n v="79.850999999999999"/>
    <s v="44.36"/>
    <n v="12.38"/>
    <n v="67.471000000000004"/>
  </r>
  <r>
    <x v="3"/>
    <x v="0"/>
    <x v="4"/>
    <s v="CUST_ID_057"/>
    <s v="PROD_ID_005"/>
    <x v="56"/>
    <s v="High"/>
    <d v="2021-09-21T00:00:00"/>
    <x v="0"/>
    <x v="0"/>
    <x v="1"/>
    <n v="2.0920000000000001"/>
    <s v="4.00"/>
    <s v="30.00"/>
    <n v="62.76"/>
    <n v="8.7859999999999996"/>
    <n v="53.973999999999997"/>
    <s v="29.98"/>
    <n v="8.3680000000000003"/>
    <n v="45.606000000000002"/>
  </r>
  <r>
    <x v="3"/>
    <x v="7"/>
    <x v="4"/>
    <s v="CUST_ID_048"/>
    <s v="PROD_ID_005"/>
    <x v="47"/>
    <s v="High"/>
    <d v="2020-11-07T00:00:00"/>
    <x v="6"/>
    <x v="3"/>
    <x v="0"/>
    <n v="336"/>
    <s v="4.00"/>
    <s v="11.00"/>
    <n v="3.6960000000000002"/>
    <n v="517"/>
    <n v="3.1789999999999998"/>
    <d v="1969-01-01T00:00:00"/>
    <n v="1.3440000000000001"/>
    <n v="1.835"/>
  </r>
  <r>
    <x v="3"/>
    <x v="2"/>
    <x v="0"/>
    <s v="CUST_ID_059"/>
    <s v="PROD_ID_001"/>
    <x v="58"/>
    <s v="High"/>
    <d v="2020-05-03T00:00:00"/>
    <x v="10"/>
    <x v="2"/>
    <x v="0"/>
    <n v="352"/>
    <s v="6.00"/>
    <s v="11.00"/>
    <n v="3.8719999999999999"/>
    <n v="542"/>
    <n v="3.33"/>
    <d v="1976-01-01T00:00:00"/>
    <n v="2.1120000000000001"/>
    <n v="1.218"/>
  </r>
  <r>
    <x v="1"/>
    <x v="5"/>
    <x v="1"/>
    <s v="CUST_ID_038"/>
    <s v="PROD_ID_002"/>
    <x v="37"/>
    <s v="High"/>
    <d v="2020-09-23T00:00:00"/>
    <x v="0"/>
    <x v="0"/>
    <x v="0"/>
    <n v="334"/>
    <s v="12.00"/>
    <s v="23.00"/>
    <n v="7.6820000000000004"/>
    <n v="1.075"/>
    <n v="6.6070000000000002"/>
    <d v="1959-03-01T00:00:00"/>
    <n v="4.008"/>
    <n v="2.5990000000000002"/>
  </r>
  <r>
    <x v="3"/>
    <x v="3"/>
    <x v="1"/>
    <s v="CUST_ID_004"/>
    <s v="PROD_ID_002"/>
    <x v="3"/>
    <s v="High"/>
    <d v="2020-11-29T00:00:00"/>
    <x v="6"/>
    <x v="3"/>
    <x v="0"/>
    <n v="2.9140000000000001"/>
    <s v="12.00"/>
    <s v="30.00"/>
    <n v="87.42"/>
    <n v="12.239000000000001"/>
    <n v="75.180999999999997"/>
    <s v="41.76"/>
    <n v="34.968000000000004"/>
    <n v="40.213000000000001"/>
  </r>
  <r>
    <x v="1"/>
    <x v="1"/>
    <x v="1"/>
    <s v="CUST_ID_026"/>
    <s v="PROD_ID_002"/>
    <x v="25"/>
    <s v="High"/>
    <d v="2021-02-20T00:00:00"/>
    <x v="4"/>
    <x v="1"/>
    <x v="1"/>
    <n v="2.12"/>
    <s v="12.00"/>
    <s v="23.00"/>
    <n v="48.76"/>
    <n v="6.8259999999999996"/>
    <n v="41.933999999999997"/>
    <s v="22.79"/>
    <n v="25.44"/>
    <n v="16.494"/>
  </r>
  <r>
    <x v="4"/>
    <x v="0"/>
    <x v="1"/>
    <s v="CUST_ID_025"/>
    <s v="PROD_ID_002"/>
    <x v="24"/>
    <s v="High"/>
    <d v="2020-11-24T00:00:00"/>
    <x v="6"/>
    <x v="3"/>
    <x v="0"/>
    <n v="1.6719999999999999"/>
    <s v="12.00"/>
    <s v="18.00"/>
    <n v="30.096"/>
    <n v="4.2130000000000001"/>
    <n v="25.882999999999999"/>
    <s v="14.38"/>
    <n v="20.064"/>
    <n v="5.819"/>
  </r>
  <r>
    <x v="3"/>
    <x v="7"/>
    <x v="3"/>
    <s v="CUST_ID_056"/>
    <s v="PROD_ID_004"/>
    <x v="55"/>
    <s v="High"/>
    <d v="2020-10-24T00:00:00"/>
    <x v="9"/>
    <x v="3"/>
    <x v="0"/>
    <n v="336"/>
    <s v="308.00"/>
    <s v="11.00"/>
    <n v="3.6960000000000002"/>
    <n v="517"/>
    <n v="3.1789999999999998"/>
    <d v="1969-01-01T00:00:00"/>
    <n v="103.488"/>
    <n v="-100.309"/>
  </r>
  <r>
    <x v="4"/>
    <x v="2"/>
    <x v="5"/>
    <s v="CUST_ID_083"/>
    <s v="PROD_ID_006"/>
    <x v="78"/>
    <s v="High"/>
    <d v="2021-11-30T00:00:00"/>
    <x v="6"/>
    <x v="3"/>
    <x v="1"/>
    <n v="1.6719999999999999"/>
    <s v="320.00"/>
    <s v="18.00"/>
    <n v="30.096"/>
    <n v="4.2130000000000001"/>
    <n v="25.882999999999999"/>
    <s v="14.38"/>
    <n v="535.04"/>
    <n v="-509.15699999999998"/>
  </r>
  <r>
    <x v="2"/>
    <x v="2"/>
    <x v="4"/>
    <s v="CUST_ID_011"/>
    <s v="PROD_ID_005"/>
    <x v="10"/>
    <s v="High"/>
    <d v="2020-02-10T00:00:00"/>
    <x v="4"/>
    <x v="1"/>
    <x v="0"/>
    <n v="961"/>
    <s v="4.00"/>
    <s v="450.00"/>
    <n v="432.45"/>
    <n v="60.542999999999999"/>
    <n v="371.90699999999998"/>
    <s v="206.66"/>
    <n v="3.8439999999999999"/>
    <n v="368.06299999999999"/>
  </r>
  <r>
    <x v="2"/>
    <x v="1"/>
    <x v="4"/>
    <s v="CUST_ID_146"/>
    <s v="PROD_ID_005"/>
    <x v="71"/>
    <s v="High"/>
    <d v="2020-02-26T00:00:00"/>
    <x v="4"/>
    <x v="1"/>
    <x v="0"/>
    <n v="1.7949999999999999"/>
    <s v="4.00"/>
    <s v="450.00"/>
    <n v="807.75"/>
    <n v="113.08499999999999"/>
    <n v="694.66499999999996"/>
    <s v="385.97"/>
    <n v="7.18"/>
    <n v="687.48500000000001"/>
  </r>
  <r>
    <x v="2"/>
    <x v="5"/>
    <x v="4"/>
    <s v="CUST_ID_134"/>
    <s v="PROD_ID_005"/>
    <x v="49"/>
    <s v="High"/>
    <d v="2021-04-25T00:00:00"/>
    <x v="5"/>
    <x v="2"/>
    <x v="1"/>
    <n v="1.212"/>
    <s v="4.00"/>
    <s v="450.00"/>
    <n v="545.4"/>
    <n v="76.355999999999995"/>
    <n v="469.04399999999998"/>
    <s v="260.58"/>
    <n v="4.8479999999999999"/>
    <n v="464.19600000000003"/>
  </r>
  <r>
    <x v="1"/>
    <x v="2"/>
    <x v="4"/>
    <s v="CUST_ID_107"/>
    <s v="PROD_ID_005"/>
    <x v="93"/>
    <s v="High"/>
    <d v="2020-02-24T00:00:00"/>
    <x v="4"/>
    <x v="1"/>
    <x v="0"/>
    <n v="1.8160000000000001"/>
    <s v="4.00"/>
    <s v="23.00"/>
    <n v="41.768000000000001"/>
    <n v="5.8479999999999999"/>
    <n v="35.92"/>
    <s v="19.52"/>
    <n v="7.2640000000000002"/>
    <n v="28.655999999999999"/>
  </r>
  <r>
    <x v="1"/>
    <x v="1"/>
    <x v="4"/>
    <s v="CUST_ID_090"/>
    <s v="PROD_ID_005"/>
    <x v="83"/>
    <s v="High"/>
    <d v="2021-06-03T00:00:00"/>
    <x v="11"/>
    <x v="2"/>
    <x v="1"/>
    <n v="2.76"/>
    <s v="4.00"/>
    <s v="23.00"/>
    <n v="63.48"/>
    <n v="8.8870000000000005"/>
    <n v="54.593000000000004"/>
    <s v="29.67"/>
    <n v="11.04"/>
    <n v="43.552999999999997"/>
  </r>
  <r>
    <x v="3"/>
    <x v="2"/>
    <x v="0"/>
    <s v="CUST_ID_043"/>
    <s v="PROD_ID_001"/>
    <x v="42"/>
    <s v="High"/>
    <d v="2020-05-13T00:00:00"/>
    <x v="10"/>
    <x v="2"/>
    <x v="0"/>
    <n v="2.673"/>
    <s v="6.00"/>
    <s v="525.00"/>
    <s v="1,403,325"/>
    <n v="196.46600000000001"/>
    <s v="1,206,860"/>
    <s v="670.48"/>
    <n v="16.038"/>
    <s v="1,190,822"/>
  </r>
  <r>
    <x v="3"/>
    <x v="4"/>
    <x v="0"/>
    <s v="CUST_ID_037"/>
    <s v="PROD_ID_001"/>
    <x v="36"/>
    <s v="High"/>
    <d v="2020-07-01T00:00:00"/>
    <x v="3"/>
    <x v="0"/>
    <x v="0"/>
    <n v="1.4390000000000001"/>
    <s v="6.00"/>
    <s v="525.00"/>
    <n v="755.47500000000002"/>
    <n v="105.767"/>
    <n v="649.70899999999995"/>
    <s v="360.90"/>
    <n v="8.6340000000000003"/>
    <n v="641.07500000000005"/>
  </r>
  <r>
    <x v="3"/>
    <x v="2"/>
    <x v="0"/>
    <s v="CUST_ID_043"/>
    <s v="PROD_ID_001"/>
    <x v="42"/>
    <s v="High"/>
    <d v="2021-08-17T00:00:00"/>
    <x v="2"/>
    <x v="0"/>
    <x v="1"/>
    <n v="240"/>
    <s v="6.00"/>
    <s v="525.00"/>
    <n v="126"/>
    <n v="17.64"/>
    <n v="108.36"/>
    <s v="60.20"/>
    <n v="1.44"/>
    <n v="106.92"/>
  </r>
  <r>
    <x v="3"/>
    <x v="2"/>
    <x v="0"/>
    <s v="CUST_ID_043"/>
    <s v="PROD_ID_001"/>
    <x v="42"/>
    <s v="High"/>
    <d v="2021-10-08T00:00:00"/>
    <x v="9"/>
    <x v="3"/>
    <x v="1"/>
    <n v="466"/>
    <s v="6.00"/>
    <s v="11.00"/>
    <n v="5.1260000000000003"/>
    <n v="718"/>
    <n v="4.4080000000000004"/>
    <d v="1934-02-01T00:00:00"/>
    <n v="2.7959999999999998"/>
    <n v="1.6120000000000001"/>
  </r>
  <r>
    <x v="1"/>
    <x v="2"/>
    <x v="0"/>
    <s v="CUST_ID_131"/>
    <s v="PROD_ID_001"/>
    <x v="93"/>
    <s v="High"/>
    <d v="2021-02-04T00:00:00"/>
    <x v="4"/>
    <x v="1"/>
    <x v="1"/>
    <n v="2.76"/>
    <s v="6.00"/>
    <s v="23.00"/>
    <n v="63.48"/>
    <n v="8.8870000000000005"/>
    <n v="54.593000000000004"/>
    <s v="29.67"/>
    <n v="16.559999999999999"/>
    <n v="38.033000000000001"/>
  </r>
  <r>
    <x v="3"/>
    <x v="7"/>
    <x v="1"/>
    <s v="CUST_ID_040"/>
    <s v="PROD_ID_002"/>
    <x v="39"/>
    <s v="High"/>
    <d v="2020-09-23T00:00:00"/>
    <x v="0"/>
    <x v="0"/>
    <x v="0"/>
    <n v="312"/>
    <s v="12.00"/>
    <s v="30.00"/>
    <n v="9.36"/>
    <n v="1.31"/>
    <n v="8.0500000000000007"/>
    <d v="1947-04-01T00:00:00"/>
    <n v="3.7440000000000002"/>
    <n v="4.306"/>
  </r>
  <r>
    <x v="4"/>
    <x v="4"/>
    <x v="1"/>
    <s v="CUST_ID_005"/>
    <s v="PROD_ID_002"/>
    <x v="4"/>
    <s v="High"/>
    <d v="2021-11-26T00:00:00"/>
    <x v="6"/>
    <x v="3"/>
    <x v="1"/>
    <n v="3.4969999999999999"/>
    <s v="12.00"/>
    <s v="18.00"/>
    <n v="62.945999999999998"/>
    <n v="8.8119999999999994"/>
    <n v="54.134"/>
    <d v="2025-07-30T00:00:00"/>
    <n v="41.963999999999999"/>
    <n v="12.17"/>
  </r>
  <r>
    <x v="3"/>
    <x v="3"/>
    <x v="1"/>
    <s v="CUST_ID_052"/>
    <s v="PROD_ID_002"/>
    <x v="51"/>
    <s v="High"/>
    <d v="2020-12-17T00:00:00"/>
    <x v="7"/>
    <x v="3"/>
    <x v="0"/>
    <n v="2.077"/>
    <s v="12.00"/>
    <s v="11.00"/>
    <n v="22.847000000000001"/>
    <n v="3.1989999999999998"/>
    <n v="19.648"/>
    <d v="1942-10-01T00:00:00"/>
    <n v="24.923999999999999"/>
    <n v="-5.2759999999999998"/>
  </r>
  <r>
    <x v="3"/>
    <x v="3"/>
    <x v="1"/>
    <s v="CUST_ID_004"/>
    <s v="PROD_ID_002"/>
    <x v="3"/>
    <s v="High"/>
    <d v="2020-07-10T00:00:00"/>
    <x v="3"/>
    <x v="0"/>
    <x v="0"/>
    <n v="840"/>
    <s v="12.00"/>
    <s v="525.00"/>
    <n v="441"/>
    <n v="61.74"/>
    <n v="379.26"/>
    <s v="210.70"/>
    <n v="10.08"/>
    <n v="369.18"/>
  </r>
  <r>
    <x v="3"/>
    <x v="2"/>
    <x v="1"/>
    <s v="CUST_ID_027"/>
    <s v="PROD_ID_002"/>
    <x v="26"/>
    <s v="High"/>
    <d v="2020-12-13T00:00:00"/>
    <x v="7"/>
    <x v="3"/>
    <x v="0"/>
    <n v="1.4119999999999999"/>
    <s v="12.00"/>
    <s v="525.00"/>
    <n v="741.3"/>
    <n v="103.782"/>
    <n v="637.51800000000003"/>
    <s v="354.28"/>
    <n v="16.943999999999999"/>
    <n v="620.57399999999996"/>
  </r>
  <r>
    <x v="0"/>
    <x v="5"/>
    <x v="2"/>
    <s v="CUST_ID_030"/>
    <s v="PROD_ID_003"/>
    <x v="29"/>
    <s v="High"/>
    <d v="2021-10-08T00:00:00"/>
    <x v="9"/>
    <x v="3"/>
    <x v="1"/>
    <n v="1.89"/>
    <s v="148.00"/>
    <s v="188.00"/>
    <n v="355.32"/>
    <n v="49.744999999999997"/>
    <n v="305.57499999999999"/>
    <s v="169.31"/>
    <n v="279.72000000000003"/>
    <n v="25.855"/>
  </r>
  <r>
    <x v="3"/>
    <x v="0"/>
    <x v="2"/>
    <s v="CUST_ID_041"/>
    <s v="PROD_ID_003"/>
    <x v="40"/>
    <s v="High"/>
    <d v="2021-09-14T00:00:00"/>
    <x v="0"/>
    <x v="0"/>
    <x v="1"/>
    <n v="727"/>
    <n v="148"/>
    <n v="30"/>
    <n v="21.81"/>
    <n v="3.0529999999999999"/>
    <n v="18.757000000000001"/>
    <n v="10"/>
    <n v="107.596"/>
    <n v="-88.838999999999999"/>
  </r>
  <r>
    <x v="2"/>
    <x v="5"/>
    <x v="2"/>
    <s v="CUST_ID_086"/>
    <s v="PROD_ID_003"/>
    <x v="49"/>
    <s v="High"/>
    <d v="2020-01-20T00:00:00"/>
    <x v="1"/>
    <x v="1"/>
    <x v="0"/>
    <n v="2.952"/>
    <n v="148"/>
    <n v="450"/>
    <s v="1,328,400"/>
    <n v="185.976"/>
    <s v="1,142,424"/>
    <n v="635"/>
    <n v="436.89600000000002"/>
    <n v="705.52800000000002"/>
  </r>
  <r>
    <x v="3"/>
    <x v="1"/>
    <x v="3"/>
    <s v="CUST_ID_034"/>
    <s v="PROD_ID_004"/>
    <x v="33"/>
    <s v="High"/>
    <d v="2021-02-07T00:00:00"/>
    <x v="4"/>
    <x v="1"/>
    <x v="1"/>
    <n v="3.484"/>
    <n v="308"/>
    <n v="11"/>
    <n v="38.323999999999998"/>
    <n v="5.3650000000000002"/>
    <n v="32.959000000000003"/>
    <n v="17"/>
    <s v="1,073,072"/>
    <s v="-1,040,113"/>
  </r>
  <r>
    <x v="2"/>
    <x v="2"/>
    <x v="3"/>
    <s v="CUST_ID_075"/>
    <s v="PROD_ID_004"/>
    <x v="72"/>
    <s v="High"/>
    <d v="2020-07-09T00:00:00"/>
    <x v="3"/>
    <x v="0"/>
    <x v="0"/>
    <n v="3.0489999999999999"/>
    <n v="308"/>
    <n v="450"/>
    <s v="1,372,050"/>
    <n v="192.08699999999999"/>
    <s v="1,179,963"/>
    <n v="656"/>
    <n v="939.09199999999998"/>
    <n v="240.87100000000001"/>
  </r>
  <r>
    <x v="2"/>
    <x v="6"/>
    <x v="3"/>
    <s v="CUST_ID_063"/>
    <s v="PROD_ID_004"/>
    <x v="61"/>
    <s v="High"/>
    <d v="2021-08-25T00:00:00"/>
    <x v="2"/>
    <x v="0"/>
    <x v="1"/>
    <n v="1.7949999999999999"/>
    <n v="308"/>
    <n v="450"/>
    <n v="807.75"/>
    <n v="113.08499999999999"/>
    <n v="694.66499999999996"/>
    <n v="386"/>
    <n v="552.86"/>
    <n v="141.80500000000001"/>
  </r>
  <r>
    <x v="2"/>
    <x v="2"/>
    <x v="3"/>
    <s v="CUST_ID_075"/>
    <s v="PROD_ID_004"/>
    <x v="72"/>
    <s v="High"/>
    <d v="2021-05-16T00:00:00"/>
    <x v="10"/>
    <x v="2"/>
    <x v="1"/>
    <n v="1.212"/>
    <n v="308"/>
    <n v="450"/>
    <n v="545.4"/>
    <n v="76.355999999999995"/>
    <n v="469.04399999999998"/>
    <n v="261"/>
    <n v="373.29599999999999"/>
    <n v="95.748000000000005"/>
  </r>
  <r>
    <x v="2"/>
    <x v="7"/>
    <x v="5"/>
    <s v="CUST_ID_128"/>
    <s v="PROD_ID_006"/>
    <x v="92"/>
    <s v="High"/>
    <d v="2020-11-06T00:00:00"/>
    <x v="6"/>
    <x v="3"/>
    <x v="0"/>
    <n v="1.0660000000000001"/>
    <n v="320"/>
    <n v="450"/>
    <n v="479.7"/>
    <n v="67.158000000000001"/>
    <n v="412.54199999999997"/>
    <n v="229"/>
    <n v="341.12"/>
    <n v="71.421999999999997"/>
  </r>
  <r>
    <x v="0"/>
    <x v="3"/>
    <x v="5"/>
    <s v="CUST_ID_148"/>
    <s v="PROD_ID_006"/>
    <x v="73"/>
    <s v="High"/>
    <d v="2020-09-19T00:00:00"/>
    <x v="0"/>
    <x v="0"/>
    <x v="0"/>
    <n v="3.4129999999999998"/>
    <n v="320"/>
    <n v="188"/>
    <n v="641.64400000000001"/>
    <n v="89.83"/>
    <n v="551.81399999999996"/>
    <n v="306"/>
    <s v="1,092,160"/>
    <n v="-540.346"/>
  </r>
  <r>
    <x v="4"/>
    <x v="2"/>
    <x v="5"/>
    <s v="CUST_ID_083"/>
    <s v="PROD_ID_006"/>
    <x v="78"/>
    <s v="High"/>
    <d v="2020-06-10T00:00:00"/>
    <x v="11"/>
    <x v="2"/>
    <x v="0"/>
    <n v="2.97"/>
    <n v="320"/>
    <n v="18"/>
    <n v="53.46"/>
    <n v="7.484"/>
    <n v="45.975999999999999"/>
    <n v="26"/>
    <n v="950.4"/>
    <n v="-904.42399999999998"/>
  </r>
  <r>
    <x v="4"/>
    <x v="1"/>
    <x v="5"/>
    <s v="CUST_ID_018"/>
    <s v="PROD_ID_006"/>
    <x v="17"/>
    <s v="High"/>
    <d v="2021-06-16T00:00:00"/>
    <x v="11"/>
    <x v="2"/>
    <x v="1"/>
    <n v="3.4969999999999999"/>
    <n v="320"/>
    <n v="18"/>
    <n v="62.945999999999998"/>
    <n v="8.8119999999999994"/>
    <n v="54.134"/>
    <n v="30"/>
    <s v="1,119,040"/>
    <s v="-1,064,906"/>
  </r>
  <r>
    <x v="3"/>
    <x v="0"/>
    <x v="5"/>
    <s v="CUST_ID_065"/>
    <s v="PROD_ID_006"/>
    <x v="63"/>
    <s v="High"/>
    <d v="2020-04-18T00:00:00"/>
    <x v="5"/>
    <x v="2"/>
    <x v="0"/>
    <n v="2.077"/>
    <n v="320"/>
    <n v="11"/>
    <n v="22.847000000000001"/>
    <n v="3.1989999999999998"/>
    <n v="19.648"/>
    <n v="10"/>
    <n v="664.64"/>
    <n v="-644.99199999999996"/>
  </r>
  <r>
    <x v="0"/>
    <x v="4"/>
    <x v="4"/>
    <s v="CUST_ID_085"/>
    <s v="PROD_ID_005"/>
    <x v="80"/>
    <s v="High"/>
    <d v="2021-06-02T00:00:00"/>
    <x v="11"/>
    <x v="2"/>
    <x v="1"/>
    <n v="1.409"/>
    <n v="4"/>
    <n v="188"/>
    <n v="264.892"/>
    <n v="39.734000000000002"/>
    <n v="225.15799999999999"/>
    <n v="125"/>
    <n v="5.6360000000000001"/>
    <n v="219.52199999999999"/>
  </r>
  <r>
    <x v="0"/>
    <x v="1"/>
    <x v="4"/>
    <s v="CUST_ID_058"/>
    <s v="PROD_ID_005"/>
    <x v="57"/>
    <s v="High"/>
    <d v="2021-12-31T00:00:00"/>
    <x v="7"/>
    <x v="3"/>
    <x v="1"/>
    <n v="3.32"/>
    <n v="4"/>
    <n v="188"/>
    <n v="624.16"/>
    <n v="93.623999999999995"/>
    <n v="530.53599999999994"/>
    <n v="294"/>
    <n v="13.28"/>
    <n v="517.25599999999997"/>
  </r>
  <r>
    <x v="0"/>
    <x v="1"/>
    <x v="4"/>
    <s v="CUST_ID_058"/>
    <s v="PROD_ID_005"/>
    <x v="57"/>
    <s v="High"/>
    <d v="2021-06-18T00:00:00"/>
    <x v="11"/>
    <x v="2"/>
    <x v="1"/>
    <n v="1.302"/>
    <n v="4"/>
    <n v="188"/>
    <n v="244.77600000000001"/>
    <n v="36.716000000000001"/>
    <n v="208.06"/>
    <n v="115"/>
    <n v="5.2080000000000002"/>
    <n v="202.852"/>
  </r>
  <r>
    <x v="2"/>
    <x v="1"/>
    <x v="0"/>
    <s v="CUST_ID_050"/>
    <s v="PROD_ID_001"/>
    <x v="49"/>
    <s v="High"/>
    <d v="2021-01-14T00:00:00"/>
    <x v="1"/>
    <x v="1"/>
    <x v="1"/>
    <n v="655"/>
    <n v="6"/>
    <n v="450"/>
    <n v="294.75"/>
    <n v="44.213000000000001"/>
    <n v="250.53800000000001"/>
    <n v="139"/>
    <n v="3.93"/>
    <n v="246.608"/>
  </r>
  <r>
    <x v="3"/>
    <x v="7"/>
    <x v="1"/>
    <s v="CUST_ID_072"/>
    <s v="PROD_ID_002"/>
    <x v="69"/>
    <s v="High"/>
    <d v="2021-05-18T00:00:00"/>
    <x v="10"/>
    <x v="2"/>
    <x v="1"/>
    <n v="1.39"/>
    <n v="12"/>
    <n v="30"/>
    <n v="41.7"/>
    <n v="6.2549999999999999"/>
    <n v="35.445"/>
    <n v="20"/>
    <n v="16.68"/>
    <n v="18.765000000000001"/>
  </r>
  <r>
    <x v="1"/>
    <x v="5"/>
    <x v="1"/>
    <s v="CUST_ID_006"/>
    <s v="PROD_ID_002"/>
    <x v="5"/>
    <s v="High"/>
    <d v="2021-10-10T00:00:00"/>
    <x v="9"/>
    <x v="3"/>
    <x v="1"/>
    <n v="1.9370000000000001"/>
    <n v="12"/>
    <n v="23"/>
    <n v="44.551000000000002"/>
    <n v="6.6829999999999998"/>
    <n v="37.868000000000002"/>
    <n v="21"/>
    <n v="23.244"/>
    <n v="14.624000000000001"/>
  </r>
  <r>
    <x v="3"/>
    <x v="7"/>
    <x v="1"/>
    <s v="CUST_ID_040"/>
    <s v="PROD_ID_002"/>
    <x v="39"/>
    <s v="High"/>
    <d v="2021-03-21T00:00:00"/>
    <x v="8"/>
    <x v="1"/>
    <x v="1"/>
    <n v="3.0419999999999998"/>
    <n v="12"/>
    <n v="11"/>
    <n v="33.462000000000003"/>
    <n v="5.0190000000000001"/>
    <n v="28.443000000000001"/>
    <n v="15"/>
    <n v="36.503999999999998"/>
    <n v="-8.0609999999999999"/>
  </r>
  <r>
    <x v="3"/>
    <x v="7"/>
    <x v="1"/>
    <s v="CUST_ID_040"/>
    <s v="PROD_ID_002"/>
    <x v="39"/>
    <s v="High"/>
    <d v="2020-03-13T00:00:00"/>
    <x v="8"/>
    <x v="1"/>
    <x v="0"/>
    <n v="3.4209999999999998"/>
    <n v="12"/>
    <n v="525"/>
    <s v="1,796,025"/>
    <n v="269.404"/>
    <s v="1,526,621"/>
    <n v="848"/>
    <n v="41.052"/>
    <s v="1,485,569"/>
  </r>
  <r>
    <x v="1"/>
    <x v="5"/>
    <x v="1"/>
    <s v="CUST_ID_006"/>
    <s v="PROD_ID_002"/>
    <x v="5"/>
    <s v="High"/>
    <d v="2021-10-06T00:00:00"/>
    <x v="9"/>
    <x v="3"/>
    <x v="1"/>
    <n v="3.0710000000000002"/>
    <n v="12"/>
    <n v="23"/>
    <n v="70.632999999999996"/>
    <n v="10.595000000000001"/>
    <n v="60.037999999999997"/>
    <n v="33"/>
    <n v="36.851999999999997"/>
    <n v="23.186"/>
  </r>
  <r>
    <x v="0"/>
    <x v="6"/>
    <x v="1"/>
    <s v="CUST_ID_023"/>
    <s v="PROD_ID_002"/>
    <x v="22"/>
    <s v="High"/>
    <d v="2020-12-30T00:00:00"/>
    <x v="7"/>
    <x v="3"/>
    <x v="0"/>
    <n v="1.302"/>
    <n v="12"/>
    <n v="188"/>
    <n v="244.77600000000001"/>
    <n v="36.716000000000001"/>
    <n v="208.06"/>
    <n v="115"/>
    <n v="15.624000000000001"/>
    <n v="192.43600000000001"/>
  </r>
  <r>
    <x v="1"/>
    <x v="5"/>
    <x v="1"/>
    <s v="CUST_ID_038"/>
    <s v="PROD_ID_002"/>
    <x v="37"/>
    <s v="High"/>
    <d v="2020-07-16T00:00:00"/>
    <x v="3"/>
    <x v="0"/>
    <x v="0"/>
    <n v="1.41"/>
    <n v="12"/>
    <n v="23"/>
    <n v="32.43"/>
    <n v="4.8650000000000002"/>
    <n v="27.565999999999999"/>
    <n v="15"/>
    <n v="16.920000000000002"/>
    <n v="10.646000000000001"/>
  </r>
  <r>
    <x v="4"/>
    <x v="4"/>
    <x v="1"/>
    <s v="CUST_ID_005"/>
    <s v="PROD_ID_002"/>
    <x v="4"/>
    <s v="High"/>
    <d v="2020-11-16T00:00:00"/>
    <x v="6"/>
    <x v="3"/>
    <x v="0"/>
    <n v="1.097"/>
    <n v="12"/>
    <n v="18"/>
    <n v="19.745999999999999"/>
    <n v="2.9620000000000002"/>
    <n v="16.783999999999999"/>
    <n v="9"/>
    <n v="13.164"/>
    <n v="3.62"/>
  </r>
  <r>
    <x v="3"/>
    <x v="3"/>
    <x v="1"/>
    <s v="CUST_ID_052"/>
    <s v="PROD_ID_002"/>
    <x v="51"/>
    <s v="High"/>
    <d v="2020-10-15T00:00:00"/>
    <x v="9"/>
    <x v="3"/>
    <x v="0"/>
    <n v="352"/>
    <n v="12"/>
    <n v="30"/>
    <n v="10.56"/>
    <n v="1.5840000000000001"/>
    <n v="8.9760000000000009"/>
    <n v="5"/>
    <n v="4.2240000000000002"/>
    <n v="4.7519999999999998"/>
  </r>
  <r>
    <x v="4"/>
    <x v="3"/>
    <x v="2"/>
    <s v="CUST_ID_124"/>
    <s v="PROD_ID_003"/>
    <x v="73"/>
    <s v="High"/>
    <d v="2021-02-07T00:00:00"/>
    <x v="4"/>
    <x v="1"/>
    <x v="1"/>
    <n v="600"/>
    <n v="148"/>
    <n v="18"/>
    <n v="10.8"/>
    <n v="1.62"/>
    <n v="9.18"/>
    <n v="5"/>
    <n v="88.8"/>
    <n v="-79.62"/>
  </r>
  <r>
    <x v="1"/>
    <x v="5"/>
    <x v="2"/>
    <s v="CUST_ID_150"/>
    <s v="PROD_ID_003"/>
    <x v="90"/>
    <s v="High"/>
    <d v="2021-11-13T00:00:00"/>
    <x v="6"/>
    <x v="3"/>
    <x v="1"/>
    <n v="3.391"/>
    <n v="148"/>
    <n v="23"/>
    <n v="77.992999999999995"/>
    <n v="11.699"/>
    <n v="66.293999999999997"/>
    <n v="36"/>
    <n v="501.86799999999999"/>
    <n v="-435.57400000000001"/>
  </r>
  <r>
    <x v="0"/>
    <x v="4"/>
    <x v="2"/>
    <s v="CUST_ID_053"/>
    <s v="PROD_ID_003"/>
    <x v="52"/>
    <s v="High"/>
    <d v="2020-04-19T00:00:00"/>
    <x v="5"/>
    <x v="2"/>
    <x v="0"/>
    <n v="796"/>
    <n v="148"/>
    <n v="188"/>
    <n v="149.648"/>
    <n v="22.446999999999999"/>
    <n v="127.20099999999999"/>
    <n v="70"/>
    <n v="117.80800000000001"/>
    <n v="9.3930000000000007"/>
  </r>
  <r>
    <x v="4"/>
    <x v="3"/>
    <x v="2"/>
    <s v="CUST_ID_132"/>
    <s v="PROD_ID_003"/>
    <x v="79"/>
    <s v="High"/>
    <d v="2021-05-12T00:00:00"/>
    <x v="10"/>
    <x v="2"/>
    <x v="1"/>
    <n v="1.097"/>
    <n v="148"/>
    <n v="18"/>
    <n v="19.745999999999999"/>
    <n v="2.9620000000000002"/>
    <n v="16.783999999999999"/>
    <n v="9"/>
    <n v="162.35599999999999"/>
    <n v="-145.572"/>
  </r>
  <r>
    <x v="3"/>
    <x v="6"/>
    <x v="3"/>
    <s v="CUST_ID_055"/>
    <s v="PROD_ID_004"/>
    <x v="54"/>
    <s v="High"/>
    <d v="2021-06-24T00:00:00"/>
    <x v="11"/>
    <x v="2"/>
    <x v="1"/>
    <n v="1.0389999999999999"/>
    <n v="308"/>
    <n v="30"/>
    <n v="31.17"/>
    <n v="4.6760000000000002"/>
    <n v="26.495000000000001"/>
    <n v="15"/>
    <n v="320.012"/>
    <n v="-293.51799999999997"/>
  </r>
  <r>
    <x v="1"/>
    <x v="6"/>
    <x v="3"/>
    <s v="CUST_ID_039"/>
    <s v="PROD_ID_004"/>
    <x v="38"/>
    <s v="High"/>
    <d v="2020-10-15T00:00:00"/>
    <x v="9"/>
    <x v="3"/>
    <x v="0"/>
    <n v="590"/>
    <n v="308"/>
    <n v="23"/>
    <n v="13.57"/>
    <n v="2.036"/>
    <n v="11.535"/>
    <n v="6"/>
    <n v="181.72"/>
    <n v="-170.18600000000001"/>
  </r>
  <r>
    <x v="1"/>
    <x v="6"/>
    <x v="3"/>
    <s v="CUST_ID_039"/>
    <s v="PROD_ID_004"/>
    <x v="38"/>
    <s v="High"/>
    <d v="2021-04-09T00:00:00"/>
    <x v="5"/>
    <x v="2"/>
    <x v="1"/>
    <n v="1.41"/>
    <n v="308"/>
    <n v="23"/>
    <n v="32.43"/>
    <n v="4.8650000000000002"/>
    <n v="27.565999999999999"/>
    <n v="15"/>
    <n v="434.28"/>
    <n v="-406.71499999999997"/>
  </r>
  <r>
    <x v="0"/>
    <x v="1"/>
    <x v="3"/>
    <s v="CUST_ID_130"/>
    <s v="PROD_ID_004"/>
    <x v="57"/>
    <s v="High"/>
    <d v="2021-12-27T00:00:00"/>
    <x v="7"/>
    <x v="3"/>
    <x v="1"/>
    <n v="662"/>
    <n v="308"/>
    <n v="188"/>
    <n v="124.456"/>
    <n v="18.667999999999999"/>
    <n v="105.788"/>
    <n v="59"/>
    <n v="203.89599999999999"/>
    <n v="-98.108000000000004"/>
  </r>
  <r>
    <x v="3"/>
    <x v="7"/>
    <x v="3"/>
    <s v="CUST_ID_008"/>
    <s v="PROD_ID_004"/>
    <x v="7"/>
    <s v="High"/>
    <d v="2020-12-10T00:00:00"/>
    <x v="7"/>
    <x v="3"/>
    <x v="0"/>
    <n v="352"/>
    <n v="308"/>
    <n v="30"/>
    <n v="10.56"/>
    <n v="1.5840000000000001"/>
    <n v="8.9760000000000009"/>
    <n v="5"/>
    <n v="108.416"/>
    <n v="-99.44"/>
  </r>
  <r>
    <x v="2"/>
    <x v="4"/>
    <x v="5"/>
    <s v="CUST_ID_149"/>
    <s v="PROD_ID_006"/>
    <x v="52"/>
    <s v="High"/>
    <d v="2020-03-28T00:00:00"/>
    <x v="8"/>
    <x v="1"/>
    <x v="0"/>
    <n v="2.97"/>
    <n v="320"/>
    <n v="450"/>
    <s v="1,336,500"/>
    <n v="200.47499999999999"/>
    <s v="1,136,025"/>
    <n v="631"/>
    <n v="950.4"/>
    <n v="185.625"/>
  </r>
  <r>
    <x v="2"/>
    <x v="6"/>
    <x v="5"/>
    <s v="CUST_ID_127"/>
    <s v="PROD_ID_006"/>
    <x v="91"/>
    <s v="High"/>
    <d v="2020-12-16T00:00:00"/>
    <x v="7"/>
    <x v="3"/>
    <x v="0"/>
    <n v="655"/>
    <n v="320"/>
    <n v="450"/>
    <n v="294.75"/>
    <n v="44.213000000000001"/>
    <n v="250.53800000000001"/>
    <n v="139"/>
    <n v="209.6"/>
    <n v="40.938000000000002"/>
  </r>
  <r>
    <x v="3"/>
    <x v="0"/>
    <x v="0"/>
    <s v="CUST_ID_049"/>
    <s v="PROD_ID_001"/>
    <x v="48"/>
    <s v="High"/>
    <d v="2021-04-22T00:00:00"/>
    <x v="5"/>
    <x v="2"/>
    <x v="1"/>
    <n v="1.6419999999999999"/>
    <n v="6"/>
    <n v="11"/>
    <n v="18.062000000000001"/>
    <n v="2.7090000000000001"/>
    <n v="15.353"/>
    <n v="8"/>
    <n v="9.8520000000000003"/>
    <n v="5.5010000000000003"/>
  </r>
  <r>
    <x v="3"/>
    <x v="3"/>
    <x v="1"/>
    <s v="CUST_ID_004"/>
    <s v="PROD_ID_002"/>
    <x v="3"/>
    <s v="High"/>
    <d v="2021-01-28T00:00:00"/>
    <x v="1"/>
    <x v="1"/>
    <x v="1"/>
    <n v="868"/>
    <n v="12"/>
    <n v="11"/>
    <n v="9.548"/>
    <n v="1.4319999999999999"/>
    <n v="8.1159999999999997"/>
    <n v="4"/>
    <n v="10.416"/>
    <n v="-2.2999999999999998"/>
  </r>
  <r>
    <x v="4"/>
    <x v="2"/>
    <x v="3"/>
    <s v="CUST_ID_147"/>
    <s v="PROD_ID_004"/>
    <x v="72"/>
    <s v="High"/>
    <d v="2020-03-19T00:00:00"/>
    <x v="8"/>
    <x v="1"/>
    <x v="0"/>
    <n v="2.1669999999999998"/>
    <n v="308"/>
    <n v="18"/>
    <n v="39.006"/>
    <n v="5.851"/>
    <n v="33.155000000000001"/>
    <n v="18"/>
    <n v="667.43600000000004"/>
    <n v="-634.280999999999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3F9F73-94E0-41E2-87D1-B8A48420283D}" name="PivotTable5" cacheId="2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S4:T7" firstHeaderRow="1" firstDataRow="1" firstDataCol="1"/>
  <pivotFields count="20">
    <pivotField showAll="0">
      <items count="6">
        <item x="4"/>
        <item x="0"/>
        <item x="3"/>
        <item x="1"/>
        <item x="2"/>
        <item t="default"/>
      </items>
    </pivotField>
    <pivotField showAll="0">
      <items count="9">
        <item x="1"/>
        <item x="2"/>
        <item x="3"/>
        <item x="4"/>
        <item x="6"/>
        <item x="5"/>
        <item x="7"/>
        <item x="0"/>
        <item t="default"/>
      </items>
    </pivotField>
    <pivotField showAll="0">
      <items count="7">
        <item x="1"/>
        <item x="0"/>
        <item x="4"/>
        <item x="2"/>
        <item x="3"/>
        <item x="5"/>
        <item t="default"/>
      </items>
    </pivotField>
    <pivotField showAll="0"/>
    <pivotField showAll="0"/>
    <pivotField showAll="0"/>
    <pivotField showAll="0"/>
    <pivotField numFmtId="14" showAll="0"/>
    <pivotField showAll="0">
      <items count="13">
        <item x="1"/>
        <item x="4"/>
        <item x="8"/>
        <item x="5"/>
        <item x="10"/>
        <item x="11"/>
        <item x="3"/>
        <item x="2"/>
        <item x="0"/>
        <item x="9"/>
        <item x="6"/>
        <item x="7"/>
        <item t="default"/>
      </items>
    </pivotField>
    <pivotField showAll="0">
      <items count="5">
        <item x="1"/>
        <item x="2"/>
        <item x="0"/>
        <item x="3"/>
        <item t="default"/>
      </items>
    </pivotField>
    <pivotField axis="axisRow" showAll="0">
      <items count="3">
        <item x="0"/>
        <item x="1"/>
        <item t="default"/>
      </items>
    </pivotField>
    <pivotField showAll="0"/>
    <pivotField showAll="0"/>
    <pivotField showAll="0"/>
    <pivotField showAll="0"/>
    <pivotField showAll="0"/>
    <pivotField dataField="1" showAll="0"/>
    <pivotField showAll="0"/>
    <pivotField showAll="0"/>
    <pivotField showAll="0"/>
  </pivotFields>
  <rowFields count="1">
    <field x="10"/>
  </rowFields>
  <rowItems count="3">
    <i>
      <x/>
    </i>
    <i>
      <x v="1"/>
    </i>
    <i t="grand">
      <x/>
    </i>
  </rowItems>
  <colItems count="1">
    <i/>
  </colItems>
  <dataFields count="1">
    <dataField name="Sum of Net Sales" fld="16" baseField="0" baseItem="953548656" numFmtId="164"/>
  </dataFields>
  <formats count="1">
    <format dxfId="64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6D8942-B808-455F-A970-A23DDEE91DC8}" name="PivotTable10" cacheId="2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39:E48" firstHeaderRow="1" firstDataRow="1" firstDataCol="1"/>
  <pivotFields count="20">
    <pivotField showAll="0">
      <items count="6">
        <item x="4"/>
        <item x="0"/>
        <item x="3"/>
        <item x="1"/>
        <item x="2"/>
        <item t="default"/>
      </items>
    </pivotField>
    <pivotField axis="axisRow" showAll="0">
      <items count="9">
        <item x="1"/>
        <item x="2"/>
        <item x="3"/>
        <item x="4"/>
        <item x="6"/>
        <item x="5"/>
        <item x="7"/>
        <item x="0"/>
        <item t="default"/>
      </items>
    </pivotField>
    <pivotField showAll="0">
      <items count="7">
        <item x="1"/>
        <item x="0"/>
        <item x="4"/>
        <item x="2"/>
        <item x="3"/>
        <item x="5"/>
        <item t="default"/>
      </items>
    </pivotField>
    <pivotField showAll="0"/>
    <pivotField showAll="0"/>
    <pivotField showAll="0"/>
    <pivotField showAll="0"/>
    <pivotField numFmtId="14" showAll="0"/>
    <pivotField showAll="0">
      <items count="13">
        <item x="1"/>
        <item x="4"/>
        <item x="8"/>
        <item x="5"/>
        <item x="10"/>
        <item x="11"/>
        <item x="3"/>
        <item x="2"/>
        <item x="0"/>
        <item x="9"/>
        <item x="6"/>
        <item x="7"/>
        <item t="default"/>
      </items>
    </pivotField>
    <pivotField showAll="0">
      <items count="5">
        <item x="1"/>
        <item x="2"/>
        <item x="0"/>
        <item x="3"/>
        <item t="default"/>
      </items>
    </pivotField>
    <pivotField showAll="0">
      <items count="3">
        <item x="0"/>
        <item x="1"/>
        <item t="default"/>
      </items>
    </pivotField>
    <pivotField dataField="1" showAll="0"/>
    <pivotField showAll="0"/>
    <pivotField showAll="0"/>
    <pivotField showAll="0"/>
    <pivotField showAll="0"/>
    <pivotField showAll="0"/>
    <pivotField showAll="0"/>
    <pivotField showAll="0"/>
    <pivotField showAll="0"/>
  </pivotFields>
  <rowFields count="1">
    <field x="1"/>
  </rowFields>
  <rowItems count="9">
    <i>
      <x/>
    </i>
    <i>
      <x v="1"/>
    </i>
    <i>
      <x v="2"/>
    </i>
    <i>
      <x v="3"/>
    </i>
    <i>
      <x v="4"/>
    </i>
    <i>
      <x v="5"/>
    </i>
    <i>
      <x v="6"/>
    </i>
    <i>
      <x v="7"/>
    </i>
    <i t="grand">
      <x/>
    </i>
  </rowItems>
  <colItems count="1">
    <i/>
  </colItems>
  <dataFields count="1">
    <dataField name="Sum of Units Sold" fld="11" baseField="0" baseItem="0"/>
  </dataFields>
  <formats count="1">
    <format dxfId="64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7022E8-7884-4737-8771-45C9CE9F8894}" name="PivotTable9" cacheId="2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39:B45" firstHeaderRow="1" firstDataRow="1" firstDataCol="1"/>
  <pivotFields count="20">
    <pivotField axis="axisRow" showAll="0">
      <items count="6">
        <item x="4"/>
        <item x="0"/>
        <item x="3"/>
        <item x="1"/>
        <item x="2"/>
        <item t="default"/>
      </items>
    </pivotField>
    <pivotField showAll="0">
      <items count="9">
        <item x="1"/>
        <item x="2"/>
        <item x="3"/>
        <item x="4"/>
        <item x="6"/>
        <item x="5"/>
        <item x="7"/>
        <item x="0"/>
        <item t="default"/>
      </items>
    </pivotField>
    <pivotField showAll="0">
      <items count="7">
        <item x="1"/>
        <item x="0"/>
        <item x="4"/>
        <item x="2"/>
        <item x="3"/>
        <item x="5"/>
        <item t="default"/>
      </items>
    </pivotField>
    <pivotField showAll="0"/>
    <pivotField showAll="0"/>
    <pivotField showAll="0"/>
    <pivotField showAll="0"/>
    <pivotField numFmtId="14" showAll="0"/>
    <pivotField showAll="0">
      <items count="13">
        <item x="1"/>
        <item x="4"/>
        <item x="8"/>
        <item x="5"/>
        <item x="10"/>
        <item x="11"/>
        <item x="3"/>
        <item x="2"/>
        <item x="0"/>
        <item x="9"/>
        <item x="6"/>
        <item x="7"/>
        <item t="default"/>
      </items>
    </pivotField>
    <pivotField showAll="0">
      <items count="5">
        <item x="1"/>
        <item x="2"/>
        <item x="0"/>
        <item x="3"/>
        <item t="default"/>
      </items>
    </pivotField>
    <pivotField showAll="0">
      <items count="3">
        <item x="0"/>
        <item x="1"/>
        <item t="default"/>
      </items>
    </pivotField>
    <pivotField dataField="1" showAll="0"/>
    <pivotField showAll="0"/>
    <pivotField showAll="0"/>
    <pivotField showAll="0"/>
    <pivotField showAll="0"/>
    <pivotField showAll="0"/>
    <pivotField showAll="0"/>
    <pivotField showAll="0"/>
    <pivotField showAll="0"/>
  </pivotFields>
  <rowFields count="1">
    <field x="0"/>
  </rowFields>
  <rowItems count="6">
    <i>
      <x/>
    </i>
    <i>
      <x v="1"/>
    </i>
    <i>
      <x v="2"/>
    </i>
    <i>
      <x v="3"/>
    </i>
    <i>
      <x v="4"/>
    </i>
    <i t="grand">
      <x/>
    </i>
  </rowItems>
  <colItems count="1">
    <i/>
  </colItems>
  <dataFields count="1">
    <dataField name="Sum of Units Sold" fld="11" baseField="0" baseItem="0"/>
  </dataFields>
  <formats count="1">
    <format dxfId="650">
      <pivotArea outline="0" collapsedLevelsAreSubtotals="1" fieldPosition="0"/>
    </format>
  </formats>
  <chartFormats count="1">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DF87D37-5A8C-4350-AFC3-0F0BF6CDBFCA}" name="PivotTable4" cacheId="2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J4:K17" firstHeaderRow="1" firstDataRow="1" firstDataCol="1"/>
  <pivotFields count="20">
    <pivotField showAll="0">
      <items count="6">
        <item x="4"/>
        <item x="0"/>
        <item x="3"/>
        <item x="1"/>
        <item x="2"/>
        <item t="default"/>
      </items>
    </pivotField>
    <pivotField showAll="0">
      <items count="9">
        <item x="1"/>
        <item x="2"/>
        <item x="3"/>
        <item x="4"/>
        <item x="6"/>
        <item x="5"/>
        <item x="7"/>
        <item x="0"/>
        <item t="default"/>
      </items>
    </pivotField>
    <pivotField showAll="0">
      <items count="7">
        <item x="1"/>
        <item x="0"/>
        <item x="4"/>
        <item x="2"/>
        <item x="3"/>
        <item x="5"/>
        <item t="default"/>
      </items>
    </pivotField>
    <pivotField showAll="0"/>
    <pivotField showAll="0"/>
    <pivotField showAll="0"/>
    <pivotField showAll="0"/>
    <pivotField numFmtId="14" showAll="0"/>
    <pivotField axis="axisRow" showAll="0">
      <items count="13">
        <item x="1"/>
        <item x="4"/>
        <item x="8"/>
        <item x="5"/>
        <item x="10"/>
        <item x="11"/>
        <item x="3"/>
        <item x="2"/>
        <item x="0"/>
        <item x="9"/>
        <item x="6"/>
        <item x="7"/>
        <item t="default"/>
      </items>
    </pivotField>
    <pivotField showAll="0">
      <items count="5">
        <item x="1"/>
        <item x="2"/>
        <item x="0"/>
        <item x="3"/>
        <item t="default"/>
      </items>
    </pivotField>
    <pivotField showAll="0">
      <items count="3">
        <item x="0"/>
        <item x="1"/>
        <item t="default"/>
      </items>
    </pivotField>
    <pivotField showAll="0"/>
    <pivotField showAll="0"/>
    <pivotField showAll="0"/>
    <pivotField showAll="0"/>
    <pivotField showAll="0"/>
    <pivotField dataField="1" showAll="0"/>
    <pivotField showAll="0"/>
    <pivotField showAll="0"/>
    <pivotField showAll="0"/>
  </pivotFields>
  <rowFields count="1">
    <field x="8"/>
  </rowFields>
  <rowItems count="13">
    <i>
      <x/>
    </i>
    <i>
      <x v="1"/>
    </i>
    <i>
      <x v="2"/>
    </i>
    <i>
      <x v="3"/>
    </i>
    <i>
      <x v="4"/>
    </i>
    <i>
      <x v="5"/>
    </i>
    <i>
      <x v="6"/>
    </i>
    <i>
      <x v="7"/>
    </i>
    <i>
      <x v="8"/>
    </i>
    <i>
      <x v="9"/>
    </i>
    <i>
      <x v="10"/>
    </i>
    <i>
      <x v="11"/>
    </i>
    <i t="grand">
      <x/>
    </i>
  </rowItems>
  <colItems count="1">
    <i/>
  </colItems>
  <dataFields count="1">
    <dataField name="Sum of Net Sales" fld="16" baseField="0" baseItem="953548656" numFmtId="164"/>
  </dataFields>
  <formats count="1">
    <format dxfId="65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4E6847B-B7F0-4C99-93CE-29D976ED5A88}" name="PivotTable8" cacheId="2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23:E32" firstHeaderRow="1" firstDataRow="1" firstDataCol="1"/>
  <pivotFields count="20">
    <pivotField showAll="0">
      <items count="6">
        <item x="4"/>
        <item x="0"/>
        <item x="3"/>
        <item x="1"/>
        <item x="2"/>
        <item t="default"/>
      </items>
    </pivotField>
    <pivotField axis="axisRow" showAll="0">
      <items count="9">
        <item x="1"/>
        <item x="2"/>
        <item x="3"/>
        <item x="4"/>
        <item x="6"/>
        <item x="5"/>
        <item x="7"/>
        <item x="0"/>
        <item t="default"/>
      </items>
    </pivotField>
    <pivotField showAll="0">
      <items count="7">
        <item x="1"/>
        <item x="0"/>
        <item x="4"/>
        <item x="2"/>
        <item x="3"/>
        <item x="5"/>
        <item t="default"/>
      </items>
    </pivotField>
    <pivotField showAll="0"/>
    <pivotField showAll="0"/>
    <pivotField showAll="0"/>
    <pivotField showAll="0"/>
    <pivotField numFmtId="14" showAll="0"/>
    <pivotField showAll="0">
      <items count="13">
        <item x="1"/>
        <item x="4"/>
        <item x="8"/>
        <item x="5"/>
        <item x="10"/>
        <item x="11"/>
        <item x="3"/>
        <item x="2"/>
        <item x="0"/>
        <item x="9"/>
        <item x="6"/>
        <item x="7"/>
        <item t="default"/>
      </items>
    </pivotField>
    <pivotField showAll="0">
      <items count="5">
        <item x="1"/>
        <item x="2"/>
        <item x="0"/>
        <item x="3"/>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s>
  <rowFields count="1">
    <field x="1"/>
  </rowFields>
  <rowItems count="9">
    <i>
      <x/>
    </i>
    <i>
      <x v="1"/>
    </i>
    <i>
      <x v="2"/>
    </i>
    <i>
      <x v="3"/>
    </i>
    <i>
      <x v="4"/>
    </i>
    <i>
      <x v="5"/>
    </i>
    <i>
      <x v="6"/>
    </i>
    <i>
      <x v="7"/>
    </i>
    <i t="grand">
      <x/>
    </i>
  </rowItems>
  <colItems count="1">
    <i/>
  </colItems>
  <dataFields count="1">
    <dataField name="Sum of Profit" fld="19" baseField="0" baseItem="0"/>
  </dataFields>
  <formats count="1">
    <format dxfId="65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1B920ED-FD61-4A0B-9BCC-25D5C93B54F9}" name="PivotTable3" cacheId="2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I23:J30" firstHeaderRow="1" firstDataRow="1" firstDataCol="1"/>
  <pivotFields count="20">
    <pivotField showAll="0">
      <items count="6">
        <item x="4"/>
        <item x="0"/>
        <item x="3"/>
        <item x="1"/>
        <item x="2"/>
        <item t="default"/>
      </items>
    </pivotField>
    <pivotField showAll="0">
      <items count="9">
        <item x="1"/>
        <item x="2"/>
        <item x="3"/>
        <item x="4"/>
        <item x="6"/>
        <item x="5"/>
        <item x="7"/>
        <item x="0"/>
        <item t="default"/>
      </items>
    </pivotField>
    <pivotField axis="axisRow" showAll="0">
      <items count="7">
        <item x="1"/>
        <item x="0"/>
        <item x="4"/>
        <item x="2"/>
        <item x="3"/>
        <item x="5"/>
        <item t="default"/>
      </items>
    </pivotField>
    <pivotField showAll="0"/>
    <pivotField showAll="0"/>
    <pivotField showAll="0"/>
    <pivotField showAll="0"/>
    <pivotField numFmtId="14" showAll="0"/>
    <pivotField showAll="0">
      <items count="13">
        <item x="1"/>
        <item x="4"/>
        <item x="8"/>
        <item x="5"/>
        <item x="10"/>
        <item x="11"/>
        <item x="3"/>
        <item x="2"/>
        <item x="0"/>
        <item x="9"/>
        <item x="6"/>
        <item x="7"/>
        <item t="default"/>
      </items>
    </pivotField>
    <pivotField showAll="0">
      <items count="5">
        <item x="1"/>
        <item x="2"/>
        <item x="0"/>
        <item x="3"/>
        <item t="default"/>
      </items>
    </pivotField>
    <pivotField showAll="0">
      <items count="3">
        <item x="0"/>
        <item x="1"/>
        <item t="default"/>
      </items>
    </pivotField>
    <pivotField showAll="0"/>
    <pivotField showAll="0"/>
    <pivotField showAll="0"/>
    <pivotField showAll="0"/>
    <pivotField showAll="0"/>
    <pivotField dataField="1" showAll="0"/>
    <pivotField showAll="0"/>
    <pivotField showAll="0"/>
    <pivotField showAll="0"/>
  </pivotFields>
  <rowFields count="1">
    <field x="2"/>
  </rowFields>
  <rowItems count="7">
    <i>
      <x/>
    </i>
    <i>
      <x v="1"/>
    </i>
    <i>
      <x v="2"/>
    </i>
    <i>
      <x v="3"/>
    </i>
    <i>
      <x v="4"/>
    </i>
    <i>
      <x v="5"/>
    </i>
    <i t="grand">
      <x/>
    </i>
  </rowItems>
  <colItems count="1">
    <i/>
  </colItems>
  <dataFields count="1">
    <dataField name="Sum of Net Sales" fld="16" baseField="0" baseItem="953548656" numFmtId="164"/>
  </dataFields>
  <formats count="1">
    <format dxfId="653">
      <pivotArea outline="0" collapsedLevelsAreSubtotals="1" fieldPosition="0"/>
    </format>
  </formats>
  <chartFormats count="7">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2" count="1" selected="0">
            <x v="0"/>
          </reference>
        </references>
      </pivotArea>
    </chartFormat>
    <chartFormat chart="3" format="10">
      <pivotArea type="data" outline="0" fieldPosition="0">
        <references count="2">
          <reference field="4294967294" count="1" selected="0">
            <x v="0"/>
          </reference>
          <reference field="2" count="1" selected="0">
            <x v="1"/>
          </reference>
        </references>
      </pivotArea>
    </chartFormat>
    <chartFormat chart="3" format="11">
      <pivotArea type="data" outline="0" fieldPosition="0">
        <references count="2">
          <reference field="4294967294" count="1" selected="0">
            <x v="0"/>
          </reference>
          <reference field="2" count="1" selected="0">
            <x v="2"/>
          </reference>
        </references>
      </pivotArea>
    </chartFormat>
    <chartFormat chart="3" format="12">
      <pivotArea type="data" outline="0" fieldPosition="0">
        <references count="2">
          <reference field="4294967294" count="1" selected="0">
            <x v="0"/>
          </reference>
          <reference field="2" count="1" selected="0">
            <x v="3"/>
          </reference>
        </references>
      </pivotArea>
    </chartFormat>
    <chartFormat chart="3" format="13">
      <pivotArea type="data" outline="0" fieldPosition="0">
        <references count="2">
          <reference field="4294967294" count="1" selected="0">
            <x v="0"/>
          </reference>
          <reference field="2" count="1" selected="0">
            <x v="4"/>
          </reference>
        </references>
      </pivotArea>
    </chartFormat>
    <chartFormat chart="3" format="14">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8D87AF9-63E9-4AA0-A52E-C26BD6B35AB4}" name="PivotTable2" cacheId="2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D3:E12" firstHeaderRow="1" firstDataRow="1" firstDataCol="1"/>
  <pivotFields count="20">
    <pivotField showAll="0">
      <items count="6">
        <item x="4"/>
        <item x="0"/>
        <item x="3"/>
        <item x="1"/>
        <item x="2"/>
        <item t="default"/>
      </items>
    </pivotField>
    <pivotField axis="axisRow" showAll="0">
      <items count="9">
        <item x="1"/>
        <item x="2"/>
        <item x="3"/>
        <item x="4"/>
        <item x="6"/>
        <item x="5"/>
        <item x="7"/>
        <item x="0"/>
        <item t="default"/>
      </items>
    </pivotField>
    <pivotField showAll="0"/>
    <pivotField showAll="0"/>
    <pivotField showAll="0"/>
    <pivotField showAll="0"/>
    <pivotField showAll="0"/>
    <pivotField numFmtId="14" showAll="0"/>
    <pivotField showAll="0">
      <items count="13">
        <item x="1"/>
        <item x="4"/>
        <item x="8"/>
        <item x="5"/>
        <item x="10"/>
        <item x="11"/>
        <item x="3"/>
        <item x="2"/>
        <item x="0"/>
        <item x="9"/>
        <item x="6"/>
        <item x="7"/>
        <item t="default"/>
      </items>
    </pivotField>
    <pivotField showAll="0">
      <items count="5">
        <item x="1"/>
        <item x="2"/>
        <item x="0"/>
        <item x="3"/>
        <item t="default"/>
      </items>
    </pivotField>
    <pivotField showAll="0">
      <items count="3">
        <item x="0"/>
        <item x="1"/>
        <item t="default"/>
      </items>
    </pivotField>
    <pivotField showAll="0"/>
    <pivotField showAll="0"/>
    <pivotField showAll="0"/>
    <pivotField showAll="0"/>
    <pivotField showAll="0"/>
    <pivotField dataField="1" showAll="0"/>
    <pivotField showAll="0"/>
    <pivotField showAll="0"/>
    <pivotField showAll="0"/>
  </pivotFields>
  <rowFields count="1">
    <field x="1"/>
  </rowFields>
  <rowItems count="9">
    <i>
      <x/>
    </i>
    <i>
      <x v="1"/>
    </i>
    <i>
      <x v="2"/>
    </i>
    <i>
      <x v="3"/>
    </i>
    <i>
      <x v="4"/>
    </i>
    <i>
      <x v="5"/>
    </i>
    <i>
      <x v="6"/>
    </i>
    <i>
      <x v="7"/>
    </i>
    <i t="grand">
      <x/>
    </i>
  </rowItems>
  <colItems count="1">
    <i/>
  </colItems>
  <dataFields count="1">
    <dataField name="Sum of Net Sales" fld="16" baseField="0" baseItem="953548656" numFmtId="164"/>
  </dataFields>
  <formats count="1">
    <format dxfId="647">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CF7A0D9-7AF0-4531-A64A-0C79589229ED}" name="PivotTable7" cacheId="2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3:B29" firstHeaderRow="1" firstDataRow="1" firstDataCol="1"/>
  <pivotFields count="20">
    <pivotField axis="axisRow" showAll="0">
      <items count="6">
        <item x="4"/>
        <item x="0"/>
        <item x="3"/>
        <item x="1"/>
        <item x="2"/>
        <item t="default"/>
      </items>
    </pivotField>
    <pivotField showAll="0">
      <items count="9">
        <item x="1"/>
        <item x="2"/>
        <item x="3"/>
        <item x="4"/>
        <item x="6"/>
        <item x="5"/>
        <item x="7"/>
        <item x="0"/>
        <item t="default"/>
      </items>
    </pivotField>
    <pivotField showAll="0">
      <items count="7">
        <item x="1"/>
        <item x="0"/>
        <item x="4"/>
        <item x="2"/>
        <item x="3"/>
        <item x="5"/>
        <item t="default"/>
      </items>
    </pivotField>
    <pivotField showAll="0"/>
    <pivotField showAll="0"/>
    <pivotField showAll="0"/>
    <pivotField showAll="0"/>
    <pivotField numFmtId="14" showAll="0"/>
    <pivotField showAll="0">
      <items count="13">
        <item x="1"/>
        <item x="4"/>
        <item x="8"/>
        <item x="5"/>
        <item x="10"/>
        <item x="11"/>
        <item x="3"/>
        <item x="2"/>
        <item x="0"/>
        <item x="9"/>
        <item x="6"/>
        <item x="7"/>
        <item t="default"/>
      </items>
    </pivotField>
    <pivotField showAll="0">
      <items count="5">
        <item x="1"/>
        <item x="2"/>
        <item x="0"/>
        <item x="3"/>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s>
  <rowFields count="1">
    <field x="0"/>
  </rowFields>
  <rowItems count="6">
    <i>
      <x/>
    </i>
    <i>
      <x v="1"/>
    </i>
    <i>
      <x v="2"/>
    </i>
    <i>
      <x v="3"/>
    </i>
    <i>
      <x v="4"/>
    </i>
    <i t="grand">
      <x/>
    </i>
  </rowItems>
  <colItems count="1">
    <i/>
  </colItems>
  <dataFields count="1">
    <dataField name="Sum of Profit" fld="19" baseField="0" baseItem="0"/>
  </dataFields>
  <formats count="1">
    <format dxfId="65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18D5531-CC6A-4318-9FF6-FE02FF55EEAC}" name="PivotTable1" cacheId="2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9" firstHeaderRow="1" firstDataRow="1" firstDataCol="1"/>
  <pivotFields count="20">
    <pivotField axis="axisRow" showAll="0">
      <items count="6">
        <item x="4"/>
        <item x="0"/>
        <item x="3"/>
        <item x="1"/>
        <item x="2"/>
        <item t="default"/>
      </items>
    </pivotField>
    <pivotField showAll="0">
      <items count="9">
        <item x="1"/>
        <item x="2"/>
        <item x="3"/>
        <item x="4"/>
        <item x="6"/>
        <item x="5"/>
        <item x="7"/>
        <item x="0"/>
        <item t="default"/>
      </items>
    </pivotField>
    <pivotField showAll="0"/>
    <pivotField showAll="0"/>
    <pivotField showAll="0"/>
    <pivotField showAll="0"/>
    <pivotField showAll="0"/>
    <pivotField numFmtId="14" showAll="0"/>
    <pivotField showAll="0">
      <items count="13">
        <item x="1"/>
        <item x="4"/>
        <item x="8"/>
        <item x="5"/>
        <item x="10"/>
        <item x="11"/>
        <item x="3"/>
        <item x="2"/>
        <item x="0"/>
        <item x="9"/>
        <item x="6"/>
        <item x="7"/>
        <item t="default"/>
      </items>
    </pivotField>
    <pivotField showAll="0">
      <items count="5">
        <item x="1"/>
        <item x="2"/>
        <item x="0"/>
        <item x="3"/>
        <item t="default"/>
      </items>
    </pivotField>
    <pivotField showAll="0">
      <items count="3">
        <item x="0"/>
        <item x="1"/>
        <item t="default"/>
      </items>
    </pivotField>
    <pivotField showAll="0"/>
    <pivotField showAll="0"/>
    <pivotField showAll="0"/>
    <pivotField showAll="0"/>
    <pivotField showAll="0"/>
    <pivotField dataField="1" showAll="0"/>
    <pivotField showAll="0"/>
    <pivotField showAll="0"/>
    <pivotField showAll="0"/>
  </pivotFields>
  <rowFields count="1">
    <field x="0"/>
  </rowFields>
  <rowItems count="6">
    <i>
      <x/>
    </i>
    <i>
      <x v="1"/>
    </i>
    <i>
      <x v="2"/>
    </i>
    <i>
      <x v="3"/>
    </i>
    <i>
      <x v="4"/>
    </i>
    <i t="grand">
      <x/>
    </i>
  </rowItems>
  <colItems count="1">
    <i/>
  </colItems>
  <dataFields count="1">
    <dataField name="Sum of Net Sales" fld="16" baseField="0" baseItem="953548656" numFmtId="164"/>
  </dataFields>
  <formats count="1">
    <format dxfId="655">
      <pivotArea outline="0" collapsedLevelsAreSubtotals="1" fieldPosition="0"/>
    </format>
  </formats>
  <chartFormats count="6">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3"/>
          </reference>
        </references>
      </pivotArea>
    </chartFormat>
    <chartFormat chart="3" format="4">
      <pivotArea type="data" outline="0" fieldPosition="0">
        <references count="2">
          <reference field="4294967294" count="1" selected="0">
            <x v="0"/>
          </reference>
          <reference field="0" count="1" selected="0">
            <x v="4"/>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3" format="7">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9E3F197-8D30-404E-8749-C41C8F95728F}" name="PivotTable6" cacheId="2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V3:W98" firstHeaderRow="1" firstDataRow="1" firstDataCol="1"/>
  <pivotFields count="20">
    <pivotField showAll="0">
      <items count="6">
        <item x="4"/>
        <item x="0"/>
        <item x="3"/>
        <item x="1"/>
        <item x="2"/>
        <item t="default"/>
      </items>
    </pivotField>
    <pivotField showAll="0">
      <items count="9">
        <item x="1"/>
        <item x="2"/>
        <item x="3"/>
        <item x="4"/>
        <item x="6"/>
        <item x="5"/>
        <item x="7"/>
        <item x="0"/>
        <item t="default"/>
      </items>
    </pivotField>
    <pivotField showAll="0">
      <items count="7">
        <item x="1"/>
        <item x="0"/>
        <item x="4"/>
        <item x="2"/>
        <item x="3"/>
        <item x="5"/>
        <item t="default"/>
      </items>
    </pivotField>
    <pivotField showAll="0"/>
    <pivotField showAll="0"/>
    <pivotField axis="axisRow" showAll="0">
      <items count="95">
        <item x="77"/>
        <item x="67"/>
        <item x="39"/>
        <item x="86"/>
        <item x="57"/>
        <item x="19"/>
        <item x="78"/>
        <item x="40"/>
        <item x="87"/>
        <item x="93"/>
        <item x="20"/>
        <item x="58"/>
        <item x="68"/>
        <item x="44"/>
        <item x="24"/>
        <item x="17"/>
        <item x="92"/>
        <item x="66"/>
        <item x="55"/>
        <item x="85"/>
        <item x="37"/>
        <item x="5"/>
        <item x="45"/>
        <item x="25"/>
        <item x="80"/>
        <item x="89"/>
        <item x="30"/>
        <item x="59"/>
        <item x="10"/>
        <item x="70"/>
        <item x="62"/>
        <item x="33"/>
        <item x="73"/>
        <item x="81"/>
        <item x="51"/>
        <item x="13"/>
        <item x="28"/>
        <item x="48"/>
        <item x="23"/>
        <item x="43"/>
        <item x="21"/>
        <item x="41"/>
        <item x="69"/>
        <item x="79"/>
        <item x="88"/>
        <item x="1"/>
        <item x="6"/>
        <item x="35"/>
        <item x="15"/>
        <item x="75"/>
        <item x="83"/>
        <item x="90"/>
        <item x="64"/>
        <item x="53"/>
        <item x="16"/>
        <item x="84"/>
        <item x="91"/>
        <item x="36"/>
        <item x="65"/>
        <item x="54"/>
        <item x="7"/>
        <item x="56"/>
        <item x="76"/>
        <item x="18"/>
        <item x="38"/>
        <item x="0"/>
        <item x="4"/>
        <item x="61"/>
        <item x="32"/>
        <item x="12"/>
        <item x="72"/>
        <item x="50"/>
        <item x="8"/>
        <item x="49"/>
        <item x="60"/>
        <item x="11"/>
        <item x="71"/>
        <item x="31"/>
        <item x="26"/>
        <item x="46"/>
        <item x="2"/>
        <item x="3"/>
        <item x="52"/>
        <item x="34"/>
        <item x="74"/>
        <item x="14"/>
        <item x="82"/>
        <item x="63"/>
        <item x="22"/>
        <item x="42"/>
        <item x="27"/>
        <item x="47"/>
        <item x="9"/>
        <item x="29"/>
        <item t="default"/>
      </items>
    </pivotField>
    <pivotField showAll="0"/>
    <pivotField numFmtId="14" showAll="0"/>
    <pivotField showAll="0">
      <items count="13">
        <item x="1"/>
        <item x="4"/>
        <item x="8"/>
        <item x="5"/>
        <item x="10"/>
        <item x="11"/>
        <item x="3"/>
        <item x="2"/>
        <item x="0"/>
        <item x="9"/>
        <item x="6"/>
        <item x="7"/>
        <item t="default"/>
      </items>
    </pivotField>
    <pivotField showAll="0">
      <items count="5">
        <item x="1"/>
        <item x="2"/>
        <item x="0"/>
        <item x="3"/>
        <item t="default"/>
      </items>
    </pivotField>
    <pivotField showAll="0">
      <items count="3">
        <item x="0"/>
        <item x="1"/>
        <item t="default"/>
      </items>
    </pivotField>
    <pivotField showAll="0"/>
    <pivotField showAll="0"/>
    <pivotField showAll="0"/>
    <pivotField showAll="0"/>
    <pivotField showAll="0"/>
    <pivotField dataField="1" showAll="0"/>
    <pivotField showAll="0"/>
    <pivotField showAll="0"/>
    <pivotField showAll="0"/>
  </pivotFields>
  <rowFields count="1">
    <field x="5"/>
  </rowFields>
  <rowItems count="9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t="grand">
      <x/>
    </i>
  </rowItems>
  <colItems count="1">
    <i/>
  </colItems>
  <dataFields count="1">
    <dataField name="Sum of Net Sales" fld="16" baseField="0" baseItem="953548656" numFmtId="164"/>
  </dataFields>
  <formats count="1">
    <format dxfId="65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616D86D-880D-49E9-B8F7-FE0075CD71BD}" sourceName="Year">
  <pivotTables>
    <pivotTable tabId="3" name="PivotTable2"/>
    <pivotTable tabId="3" name="PivotTable1"/>
    <pivotTable tabId="3" name="PivotTable10"/>
    <pivotTable tabId="3" name="PivotTable3"/>
    <pivotTable tabId="3" name="PivotTable4"/>
    <pivotTable tabId="3" name="PivotTable5"/>
    <pivotTable tabId="3" name="PivotTable6"/>
    <pivotTable tabId="3" name="PivotTable7"/>
    <pivotTable tabId="3" name="PivotTable8"/>
    <pivotTable tabId="3" name="PivotTable9"/>
  </pivotTables>
  <data>
    <tabular pivotCacheId="55930854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DC0E3111-1E80-4227-BAFC-D418C0846114}" sourceName="Quarter">
  <pivotTables>
    <pivotTable tabId="3" name="PivotTable2"/>
    <pivotTable tabId="3" name="PivotTable1"/>
    <pivotTable tabId="3" name="PivotTable10"/>
    <pivotTable tabId="3" name="PivotTable3"/>
    <pivotTable tabId="3" name="PivotTable4"/>
    <pivotTable tabId="3" name="PivotTable5"/>
    <pivotTable tabId="3" name="PivotTable6"/>
    <pivotTable tabId="3" name="PivotTable7"/>
    <pivotTable tabId="3" name="PivotTable8"/>
    <pivotTable tabId="3" name="PivotTable9"/>
  </pivotTables>
  <data>
    <tabular pivotCacheId="559308545">
      <items count="4">
        <i x="1" s="1"/>
        <i x="2"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16BC43F-569A-4439-A8D0-973CF817714C}" sourceName="Month">
  <pivotTables>
    <pivotTable tabId="3" name="PivotTable2"/>
    <pivotTable tabId="3" name="PivotTable1"/>
    <pivotTable tabId="3" name="PivotTable10"/>
    <pivotTable tabId="3" name="PivotTable3"/>
    <pivotTable tabId="3" name="PivotTable4"/>
    <pivotTable tabId="3" name="PivotTable5"/>
    <pivotTable tabId="3" name="PivotTable6"/>
    <pivotTable tabId="3" name="PivotTable7"/>
    <pivotTable tabId="3" name="PivotTable8"/>
    <pivotTable tabId="3" name="PivotTable9"/>
  </pivotTables>
  <data>
    <tabular pivotCacheId="559308545">
      <items count="12">
        <i x="1" s="1"/>
        <i x="4" s="1"/>
        <i x="8" s="1"/>
        <i x="5" s="1"/>
        <i x="10" s="1"/>
        <i x="11" s="1"/>
        <i x="3" s="1"/>
        <i x="2" s="1"/>
        <i x="0" s="1"/>
        <i x="9" s="1"/>
        <i x="6" s="1"/>
        <i x="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E0E6C5D2-B16B-4BDD-8D3B-53CB393902F2}" sourceName="Segment">
  <pivotTables>
    <pivotTable tabId="3" name="PivotTable2"/>
    <pivotTable tabId="3" name="PivotTable1"/>
    <pivotTable tabId="3" name="PivotTable10"/>
    <pivotTable tabId="3" name="PivotTable3"/>
    <pivotTable tabId="3" name="PivotTable4"/>
    <pivotTable tabId="3" name="PivotTable5"/>
    <pivotTable tabId="3" name="PivotTable6"/>
    <pivotTable tabId="3" name="PivotTable7"/>
    <pivotTable tabId="3" name="PivotTable8"/>
    <pivotTable tabId="3" name="PivotTable9"/>
  </pivotTables>
  <data>
    <tabular pivotCacheId="559308545">
      <items count="5">
        <i x="4" s="1"/>
        <i x="0" s="1"/>
        <i x="3"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85BEDB3-E630-487D-A974-B08517630D32}" cache="Slicer_Year" caption="Year" style="customs2" rowHeight="234950"/>
  <slicer name="Quarter" xr10:uid="{D4378710-1BF6-4930-948E-9369D5DC3E35}" cache="Slicer_Quarter" caption="Quarter" columnCount="4" style="customs2" rowHeight="234950"/>
  <slicer name="Month" xr10:uid="{FB3E34A2-F148-4D51-AB0E-91159E2E9E9B}" cache="Slicer_Month" caption="Month" style="customs2" rowHeight="234950"/>
  <slicer name="Segment" xr10:uid="{68D7D0EE-85B4-4381-BD73-0E5ACBF7C086}" cache="Slicer_Segment" caption="Segment" style="customs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2.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47378-8478-46F5-8ED3-4B4C477681DD}">
  <dimension ref="A1:T701"/>
  <sheetViews>
    <sheetView topLeftCell="A4" zoomScale="85" zoomScaleNormal="85" workbookViewId="0">
      <selection activeCell="O23" sqref="N22:O23"/>
    </sheetView>
  </sheetViews>
  <sheetFormatPr defaultRowHeight="14.4" x14ac:dyDescent="0.3"/>
  <cols>
    <col min="1" max="1" width="12.5546875" customWidth="1"/>
    <col min="3" max="3" width="16" customWidth="1"/>
    <col min="4" max="4" width="12.77734375" customWidth="1"/>
    <col min="5" max="5" width="13.33203125" customWidth="1"/>
    <col min="6" max="6" width="15.77734375" customWidth="1"/>
    <col min="7" max="7" width="14.33203125" customWidth="1"/>
    <col min="8" max="8" width="14.6640625" customWidth="1"/>
    <col min="12" max="12" width="12.5546875" customWidth="1"/>
    <col min="13" max="13" width="16.88671875" customWidth="1"/>
    <col min="16" max="16" width="12" customWidth="1"/>
    <col min="17" max="17" width="11.21875" style="13" customWidth="1"/>
    <col min="18" max="18" width="16.109375" customWidth="1"/>
    <col min="19" max="19" width="13.5546875" customWidth="1"/>
    <col min="20" max="20" width="11.33203125" customWidth="1"/>
  </cols>
  <sheetData>
    <row r="1" spans="1:20" ht="29.4" thickBo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1" t="s">
        <v>16</v>
      </c>
      <c r="R1" s="1" t="s">
        <v>17</v>
      </c>
      <c r="S1" s="1" t="s">
        <v>18</v>
      </c>
      <c r="T1" s="1" t="s">
        <v>19</v>
      </c>
    </row>
    <row r="2" spans="1:20" ht="15" thickBot="1" x14ac:dyDescent="0.35">
      <c r="A2" s="2" t="s">
        <v>20</v>
      </c>
      <c r="B2" s="2" t="s">
        <v>21</v>
      </c>
      <c r="C2" s="2" t="s">
        <v>22</v>
      </c>
      <c r="D2" s="2" t="s">
        <v>23</v>
      </c>
      <c r="E2" s="2" t="s">
        <v>24</v>
      </c>
      <c r="F2" s="2" t="s">
        <v>25</v>
      </c>
      <c r="G2" s="2" t="s">
        <v>26</v>
      </c>
      <c r="H2" s="3">
        <v>44096</v>
      </c>
      <c r="I2" s="2" t="s">
        <v>27</v>
      </c>
      <c r="J2" s="2" t="s">
        <v>28</v>
      </c>
      <c r="K2" s="4">
        <v>2020</v>
      </c>
      <c r="L2" s="4">
        <v>414</v>
      </c>
      <c r="M2" s="4" t="s">
        <v>29</v>
      </c>
      <c r="N2" s="4" t="s">
        <v>30</v>
      </c>
      <c r="O2" s="4">
        <v>77.831999999999994</v>
      </c>
      <c r="P2" s="4" t="s">
        <v>31</v>
      </c>
      <c r="Q2" s="12">
        <v>77.831999999999994</v>
      </c>
      <c r="R2" s="4" t="s">
        <v>32</v>
      </c>
      <c r="S2" s="4">
        <v>2.484</v>
      </c>
      <c r="T2" s="4">
        <v>75.347999999999999</v>
      </c>
    </row>
    <row r="3" spans="1:20" ht="15" thickBot="1" x14ac:dyDescent="0.35">
      <c r="A3" s="2" t="s">
        <v>33</v>
      </c>
      <c r="B3" s="2" t="s">
        <v>34</v>
      </c>
      <c r="C3" s="2" t="s">
        <v>35</v>
      </c>
      <c r="D3" s="2" t="s">
        <v>36</v>
      </c>
      <c r="E3" s="2" t="s">
        <v>37</v>
      </c>
      <c r="F3" s="2" t="s">
        <v>38</v>
      </c>
      <c r="G3" s="2" t="s">
        <v>26</v>
      </c>
      <c r="H3" s="3">
        <v>43841</v>
      </c>
      <c r="I3" s="2" t="s">
        <v>39</v>
      </c>
      <c r="J3" s="2" t="s">
        <v>40</v>
      </c>
      <c r="K3" s="4">
        <v>2020</v>
      </c>
      <c r="L3" s="4">
        <v>659</v>
      </c>
      <c r="M3" s="4" t="s">
        <v>41</v>
      </c>
      <c r="N3" s="4" t="s">
        <v>42</v>
      </c>
      <c r="O3" s="4">
        <v>15.157</v>
      </c>
      <c r="P3" s="4" t="s">
        <v>31</v>
      </c>
      <c r="Q3" s="12">
        <v>15.157</v>
      </c>
      <c r="R3" s="5">
        <v>45505</v>
      </c>
      <c r="S3" s="4">
        <v>7.9080000000000004</v>
      </c>
      <c r="T3" s="4">
        <v>7.2489999999999997</v>
      </c>
    </row>
    <row r="4" spans="1:20" ht="29.4" thickBot="1" x14ac:dyDescent="0.35">
      <c r="A4" s="2" t="s">
        <v>43</v>
      </c>
      <c r="B4" s="2" t="s">
        <v>44</v>
      </c>
      <c r="C4" s="2" t="s">
        <v>35</v>
      </c>
      <c r="D4" s="2" t="s">
        <v>45</v>
      </c>
      <c r="E4" s="2" t="s">
        <v>37</v>
      </c>
      <c r="F4" s="2" t="s">
        <v>46</v>
      </c>
      <c r="G4" s="2" t="s">
        <v>26</v>
      </c>
      <c r="H4" s="3">
        <v>44223</v>
      </c>
      <c r="I4" s="2" t="s">
        <v>39</v>
      </c>
      <c r="J4" s="2" t="s">
        <v>40</v>
      </c>
      <c r="K4" s="4">
        <v>2021</v>
      </c>
      <c r="L4" s="4">
        <v>946</v>
      </c>
      <c r="M4" s="4" t="s">
        <v>41</v>
      </c>
      <c r="N4" s="4" t="s">
        <v>47</v>
      </c>
      <c r="O4" s="4">
        <v>425.7</v>
      </c>
      <c r="P4" s="4" t="s">
        <v>31</v>
      </c>
      <c r="Q4" s="12">
        <v>425.7</v>
      </c>
      <c r="R4" s="4" t="s">
        <v>48</v>
      </c>
      <c r="S4" s="4">
        <v>11.352</v>
      </c>
      <c r="T4" s="4">
        <v>414.34800000000001</v>
      </c>
    </row>
    <row r="5" spans="1:20" ht="15" thickBot="1" x14ac:dyDescent="0.35">
      <c r="A5" s="2" t="s">
        <v>49</v>
      </c>
      <c r="B5" s="2" t="s">
        <v>50</v>
      </c>
      <c r="C5" s="2" t="s">
        <v>35</v>
      </c>
      <c r="D5" s="2" t="s">
        <v>51</v>
      </c>
      <c r="E5" s="2" t="s">
        <v>37</v>
      </c>
      <c r="F5" s="2" t="s">
        <v>52</v>
      </c>
      <c r="G5" s="2" t="s">
        <v>26</v>
      </c>
      <c r="H5" s="3">
        <v>44044</v>
      </c>
      <c r="I5" s="2" t="s">
        <v>53</v>
      </c>
      <c r="J5" s="2" t="s">
        <v>28</v>
      </c>
      <c r="K5" s="4">
        <v>2020</v>
      </c>
      <c r="L5" s="4">
        <v>2.0699999999999998</v>
      </c>
      <c r="M5" s="4" t="s">
        <v>41</v>
      </c>
      <c r="N5" s="4" t="s">
        <v>54</v>
      </c>
      <c r="O5" s="4" t="s">
        <v>55</v>
      </c>
      <c r="P5" s="4" t="s">
        <v>31</v>
      </c>
      <c r="Q5" s="12" t="s">
        <v>55</v>
      </c>
      <c r="R5" s="4" t="s">
        <v>56</v>
      </c>
      <c r="S5" s="4">
        <v>24.84</v>
      </c>
      <c r="T5" s="4" t="s">
        <v>57</v>
      </c>
    </row>
    <row r="6" spans="1:20" ht="29.4" thickBot="1" x14ac:dyDescent="0.35">
      <c r="A6" s="2" t="s">
        <v>58</v>
      </c>
      <c r="B6" s="2" t="s">
        <v>59</v>
      </c>
      <c r="C6" s="2" t="s">
        <v>35</v>
      </c>
      <c r="D6" s="2" t="s">
        <v>60</v>
      </c>
      <c r="E6" s="2" t="s">
        <v>37</v>
      </c>
      <c r="F6" s="2" t="s">
        <v>61</v>
      </c>
      <c r="G6" s="2" t="s">
        <v>26</v>
      </c>
      <c r="H6" s="3">
        <v>44385</v>
      </c>
      <c r="I6" s="2" t="s">
        <v>62</v>
      </c>
      <c r="J6" s="2" t="s">
        <v>28</v>
      </c>
      <c r="K6" s="4">
        <v>2021</v>
      </c>
      <c r="L6" s="4">
        <v>1.0940000000000001</v>
      </c>
      <c r="M6" s="4" t="s">
        <v>41</v>
      </c>
      <c r="N6" s="4" t="s">
        <v>63</v>
      </c>
      <c r="O6" s="4">
        <v>19.692</v>
      </c>
      <c r="P6" s="4" t="s">
        <v>31</v>
      </c>
      <c r="Q6" s="12">
        <v>19.692</v>
      </c>
      <c r="R6" s="5">
        <v>34608</v>
      </c>
      <c r="S6" s="4">
        <v>13.128</v>
      </c>
      <c r="T6" s="4">
        <v>6.5640000000000001</v>
      </c>
    </row>
    <row r="7" spans="1:20" ht="15" thickBot="1" x14ac:dyDescent="0.35">
      <c r="A7" s="2" t="s">
        <v>33</v>
      </c>
      <c r="B7" s="2" t="s">
        <v>64</v>
      </c>
      <c r="C7" s="2" t="s">
        <v>35</v>
      </c>
      <c r="D7" s="2" t="s">
        <v>65</v>
      </c>
      <c r="E7" s="2" t="s">
        <v>37</v>
      </c>
      <c r="F7" s="2" t="s">
        <v>66</v>
      </c>
      <c r="G7" s="2" t="s">
        <v>26</v>
      </c>
      <c r="H7" s="3">
        <v>44467</v>
      </c>
      <c r="I7" s="2" t="s">
        <v>27</v>
      </c>
      <c r="J7" s="2" t="s">
        <v>28</v>
      </c>
      <c r="K7" s="4">
        <v>2021</v>
      </c>
      <c r="L7" s="4">
        <v>2.5819999999999999</v>
      </c>
      <c r="M7" s="4" t="s">
        <v>41</v>
      </c>
      <c r="N7" s="4" t="s">
        <v>42</v>
      </c>
      <c r="O7" s="4">
        <v>59.386000000000003</v>
      </c>
      <c r="P7" s="4" t="s">
        <v>31</v>
      </c>
      <c r="Q7" s="12">
        <v>59.386000000000003</v>
      </c>
      <c r="R7" s="4" t="s">
        <v>67</v>
      </c>
      <c r="S7" s="4">
        <v>30.984000000000002</v>
      </c>
      <c r="T7" s="4">
        <v>28.402000000000001</v>
      </c>
    </row>
    <row r="8" spans="1:20" ht="15" thickBot="1" x14ac:dyDescent="0.35">
      <c r="A8" s="2" t="s">
        <v>20</v>
      </c>
      <c r="B8" s="2" t="s">
        <v>68</v>
      </c>
      <c r="C8" s="2" t="s">
        <v>69</v>
      </c>
      <c r="D8" s="2" t="s">
        <v>70</v>
      </c>
      <c r="E8" s="2" t="s">
        <v>71</v>
      </c>
      <c r="F8" s="2" t="s">
        <v>72</v>
      </c>
      <c r="G8" s="2" t="s">
        <v>26</v>
      </c>
      <c r="H8" s="3">
        <v>44100</v>
      </c>
      <c r="I8" s="2" t="s">
        <v>27</v>
      </c>
      <c r="J8" s="2" t="s">
        <v>28</v>
      </c>
      <c r="K8" s="4">
        <v>2020</v>
      </c>
      <c r="L8" s="4">
        <v>414</v>
      </c>
      <c r="M8" s="4" t="s">
        <v>73</v>
      </c>
      <c r="N8" s="4" t="s">
        <v>30</v>
      </c>
      <c r="O8" s="4">
        <v>77.831999999999994</v>
      </c>
      <c r="P8" s="4" t="s">
        <v>31</v>
      </c>
      <c r="Q8" s="12">
        <v>77.831999999999994</v>
      </c>
      <c r="R8" s="4" t="s">
        <v>32</v>
      </c>
      <c r="S8" s="4">
        <v>61.271999999999998</v>
      </c>
      <c r="T8" s="4">
        <v>16.559999999999999</v>
      </c>
    </row>
    <row r="9" spans="1:20" ht="15" thickBot="1" x14ac:dyDescent="0.35">
      <c r="A9" s="2" t="s">
        <v>49</v>
      </c>
      <c r="B9" s="2" t="s">
        <v>74</v>
      </c>
      <c r="C9" s="2" t="s">
        <v>75</v>
      </c>
      <c r="D9" s="2" t="s">
        <v>76</v>
      </c>
      <c r="E9" s="2" t="s">
        <v>77</v>
      </c>
      <c r="F9" s="2" t="s">
        <v>78</v>
      </c>
      <c r="G9" s="2" t="s">
        <v>26</v>
      </c>
      <c r="H9" s="3">
        <v>43872</v>
      </c>
      <c r="I9" s="2" t="s">
        <v>79</v>
      </c>
      <c r="J9" s="2" t="s">
        <v>40</v>
      </c>
      <c r="K9" s="4">
        <v>2020</v>
      </c>
      <c r="L9" s="4">
        <v>1.8320000000000001</v>
      </c>
      <c r="M9" s="4" t="s">
        <v>80</v>
      </c>
      <c r="N9" s="4" t="s">
        <v>54</v>
      </c>
      <c r="O9" s="4">
        <v>961.8</v>
      </c>
      <c r="P9" s="4" t="s">
        <v>31</v>
      </c>
      <c r="Q9" s="12">
        <v>961.8</v>
      </c>
      <c r="R9" s="4" t="s">
        <v>81</v>
      </c>
      <c r="S9" s="4">
        <v>564.25599999999997</v>
      </c>
      <c r="T9" s="4">
        <v>397.54399999999998</v>
      </c>
    </row>
    <row r="10" spans="1:20" ht="15" thickBot="1" x14ac:dyDescent="0.35">
      <c r="A10" s="2" t="s">
        <v>20</v>
      </c>
      <c r="B10" s="2" t="s">
        <v>21</v>
      </c>
      <c r="C10" s="2" t="s">
        <v>82</v>
      </c>
      <c r="D10" s="2" t="s">
        <v>83</v>
      </c>
      <c r="E10" s="2" t="s">
        <v>84</v>
      </c>
      <c r="F10" s="2" t="s">
        <v>85</v>
      </c>
      <c r="G10" s="2" t="s">
        <v>86</v>
      </c>
      <c r="H10" s="3">
        <v>44208</v>
      </c>
      <c r="I10" s="2" t="s">
        <v>39</v>
      </c>
      <c r="J10" s="2" t="s">
        <v>40</v>
      </c>
      <c r="K10" s="4">
        <v>2021</v>
      </c>
      <c r="L10" s="4">
        <v>396</v>
      </c>
      <c r="M10" s="4" t="s">
        <v>87</v>
      </c>
      <c r="N10" s="4" t="s">
        <v>30</v>
      </c>
      <c r="O10" s="4">
        <v>74.447999999999993</v>
      </c>
      <c r="P10" s="4">
        <v>744</v>
      </c>
      <c r="Q10" s="12">
        <v>73.703999999999994</v>
      </c>
      <c r="R10" s="4" t="s">
        <v>88</v>
      </c>
      <c r="S10" s="4">
        <v>1.5840000000000001</v>
      </c>
      <c r="T10" s="4">
        <v>72.12</v>
      </c>
    </row>
    <row r="11" spans="1:20" ht="29.4" thickBot="1" x14ac:dyDescent="0.35">
      <c r="A11" s="2" t="s">
        <v>58</v>
      </c>
      <c r="B11" s="2" t="s">
        <v>34</v>
      </c>
      <c r="C11" s="2" t="s">
        <v>82</v>
      </c>
      <c r="D11" s="2" t="s">
        <v>89</v>
      </c>
      <c r="E11" s="2" t="s">
        <v>84</v>
      </c>
      <c r="F11" s="2" t="s">
        <v>90</v>
      </c>
      <c r="G11" s="2" t="s">
        <v>86</v>
      </c>
      <c r="H11" s="3">
        <v>44292</v>
      </c>
      <c r="I11" s="2" t="s">
        <v>91</v>
      </c>
      <c r="J11" s="2" t="s">
        <v>92</v>
      </c>
      <c r="K11" s="4">
        <v>2021</v>
      </c>
      <c r="L11" s="4">
        <v>919</v>
      </c>
      <c r="M11" s="4" t="s">
        <v>87</v>
      </c>
      <c r="N11" s="4" t="s">
        <v>63</v>
      </c>
      <c r="O11" s="4">
        <v>16.542000000000002</v>
      </c>
      <c r="P11" s="4">
        <v>165</v>
      </c>
      <c r="Q11" s="12">
        <v>16.376999999999999</v>
      </c>
      <c r="R11" s="6">
        <v>45939</v>
      </c>
      <c r="S11" s="4">
        <v>3.6760000000000002</v>
      </c>
      <c r="T11" s="4">
        <v>12.701000000000001</v>
      </c>
    </row>
    <row r="12" spans="1:20" ht="29.4" thickBot="1" x14ac:dyDescent="0.35">
      <c r="A12" s="2" t="s">
        <v>43</v>
      </c>
      <c r="B12" s="2" t="s">
        <v>44</v>
      </c>
      <c r="C12" s="2" t="s">
        <v>82</v>
      </c>
      <c r="D12" s="2" t="s">
        <v>93</v>
      </c>
      <c r="E12" s="2" t="s">
        <v>84</v>
      </c>
      <c r="F12" s="2" t="s">
        <v>94</v>
      </c>
      <c r="G12" s="2" t="s">
        <v>86</v>
      </c>
      <c r="H12" s="3">
        <v>44154</v>
      </c>
      <c r="I12" s="2" t="s">
        <v>95</v>
      </c>
      <c r="J12" s="2" t="s">
        <v>96</v>
      </c>
      <c r="K12" s="4">
        <v>2020</v>
      </c>
      <c r="L12" s="4">
        <v>593</v>
      </c>
      <c r="M12" s="4" t="s">
        <v>87</v>
      </c>
      <c r="N12" s="4" t="s">
        <v>47</v>
      </c>
      <c r="O12" s="4">
        <v>266.85000000000002</v>
      </c>
      <c r="P12" s="4">
        <v>2.669</v>
      </c>
      <c r="Q12" s="12">
        <v>264.18200000000002</v>
      </c>
      <c r="R12" s="4" t="s">
        <v>97</v>
      </c>
      <c r="S12" s="4">
        <v>2.3719999999999999</v>
      </c>
      <c r="T12" s="4">
        <v>261.81</v>
      </c>
    </row>
    <row r="13" spans="1:20" ht="29.4" thickBot="1" x14ac:dyDescent="0.35">
      <c r="A13" s="2" t="s">
        <v>43</v>
      </c>
      <c r="B13" s="2" t="s">
        <v>50</v>
      </c>
      <c r="C13" s="2" t="s">
        <v>22</v>
      </c>
      <c r="D13" s="2" t="s">
        <v>98</v>
      </c>
      <c r="E13" s="2" t="s">
        <v>24</v>
      </c>
      <c r="F13" s="2" t="s">
        <v>99</v>
      </c>
      <c r="G13" s="2" t="s">
        <v>86</v>
      </c>
      <c r="H13" s="3">
        <v>44185</v>
      </c>
      <c r="I13" s="2" t="s">
        <v>100</v>
      </c>
      <c r="J13" s="2" t="s">
        <v>96</v>
      </c>
      <c r="K13" s="4">
        <v>2020</v>
      </c>
      <c r="L13" s="4">
        <v>2.9980000000000002</v>
      </c>
      <c r="M13" s="4" t="s">
        <v>29</v>
      </c>
      <c r="N13" s="4" t="s">
        <v>47</v>
      </c>
      <c r="O13" s="4" t="s">
        <v>101</v>
      </c>
      <c r="P13" s="4">
        <v>13.491</v>
      </c>
      <c r="Q13" s="12" t="s">
        <v>102</v>
      </c>
      <c r="R13" s="4" t="s">
        <v>103</v>
      </c>
      <c r="S13" s="4">
        <v>17.988</v>
      </c>
      <c r="T13" s="4" t="s">
        <v>104</v>
      </c>
    </row>
    <row r="14" spans="1:20" ht="15" thickBot="1" x14ac:dyDescent="0.35">
      <c r="A14" s="2" t="s">
        <v>20</v>
      </c>
      <c r="B14" s="2" t="s">
        <v>59</v>
      </c>
      <c r="C14" s="2" t="s">
        <v>22</v>
      </c>
      <c r="D14" s="2" t="s">
        <v>105</v>
      </c>
      <c r="E14" s="2" t="s">
        <v>24</v>
      </c>
      <c r="F14" s="2" t="s">
        <v>106</v>
      </c>
      <c r="G14" s="2" t="s">
        <v>86</v>
      </c>
      <c r="H14" s="3">
        <v>43888</v>
      </c>
      <c r="I14" s="2" t="s">
        <v>79</v>
      </c>
      <c r="J14" s="2" t="s">
        <v>40</v>
      </c>
      <c r="K14" s="4">
        <v>2020</v>
      </c>
      <c r="L14" s="4">
        <v>796</v>
      </c>
      <c r="M14" s="4" t="s">
        <v>29</v>
      </c>
      <c r="N14" s="4" t="s">
        <v>30</v>
      </c>
      <c r="O14" s="4">
        <v>149.648</v>
      </c>
      <c r="P14" s="4">
        <v>1.496</v>
      </c>
      <c r="Q14" s="12">
        <v>148.15199999999999</v>
      </c>
      <c r="R14" s="4" t="s">
        <v>107</v>
      </c>
      <c r="S14" s="4">
        <v>4.7759999999999998</v>
      </c>
      <c r="T14" s="4">
        <v>143.376</v>
      </c>
    </row>
    <row r="15" spans="1:20" ht="29.4" thickBot="1" x14ac:dyDescent="0.35">
      <c r="A15" s="2" t="s">
        <v>58</v>
      </c>
      <c r="B15" s="2" t="s">
        <v>64</v>
      </c>
      <c r="C15" s="2" t="s">
        <v>35</v>
      </c>
      <c r="D15" s="2" t="s">
        <v>108</v>
      </c>
      <c r="E15" s="2" t="s">
        <v>37</v>
      </c>
      <c r="F15" s="2" t="s">
        <v>109</v>
      </c>
      <c r="G15" s="2" t="s">
        <v>86</v>
      </c>
      <c r="H15" s="3">
        <v>44387</v>
      </c>
      <c r="I15" s="2" t="s">
        <v>62</v>
      </c>
      <c r="J15" s="2" t="s">
        <v>28</v>
      </c>
      <c r="K15" s="4">
        <v>2021</v>
      </c>
      <c r="L15" s="4">
        <v>919</v>
      </c>
      <c r="M15" s="4" t="s">
        <v>41</v>
      </c>
      <c r="N15" s="4" t="s">
        <v>63</v>
      </c>
      <c r="O15" s="4">
        <v>16.542000000000002</v>
      </c>
      <c r="P15" s="4">
        <v>165</v>
      </c>
      <c r="Q15" s="12">
        <v>16.376999999999999</v>
      </c>
      <c r="R15" s="6">
        <v>45939</v>
      </c>
      <c r="S15" s="4">
        <v>11.028</v>
      </c>
      <c r="T15" s="4">
        <v>5.3490000000000002</v>
      </c>
    </row>
    <row r="16" spans="1:20" ht="15" thickBot="1" x14ac:dyDescent="0.35">
      <c r="A16" s="2" t="s">
        <v>20</v>
      </c>
      <c r="B16" s="2" t="s">
        <v>68</v>
      </c>
      <c r="C16" s="2" t="s">
        <v>69</v>
      </c>
      <c r="D16" s="2" t="s">
        <v>110</v>
      </c>
      <c r="E16" s="2" t="s">
        <v>71</v>
      </c>
      <c r="F16" s="2" t="s">
        <v>111</v>
      </c>
      <c r="G16" s="2" t="s">
        <v>86</v>
      </c>
      <c r="H16" s="3">
        <v>44284</v>
      </c>
      <c r="I16" s="2" t="s">
        <v>112</v>
      </c>
      <c r="J16" s="2" t="s">
        <v>40</v>
      </c>
      <c r="K16" s="4">
        <v>2021</v>
      </c>
      <c r="L16" s="4">
        <v>796</v>
      </c>
      <c r="M16" s="4" t="s">
        <v>73</v>
      </c>
      <c r="N16" s="4" t="s">
        <v>30</v>
      </c>
      <c r="O16" s="4">
        <v>149.648</v>
      </c>
      <c r="P16" s="4">
        <v>1.496</v>
      </c>
      <c r="Q16" s="12">
        <v>148.15199999999999</v>
      </c>
      <c r="R16" s="4" t="s">
        <v>107</v>
      </c>
      <c r="S16" s="4">
        <v>117.80800000000001</v>
      </c>
      <c r="T16" s="4">
        <v>30.344000000000001</v>
      </c>
    </row>
    <row r="17" spans="1:20" ht="15" thickBot="1" x14ac:dyDescent="0.35">
      <c r="A17" s="2" t="s">
        <v>49</v>
      </c>
      <c r="B17" s="2" t="s">
        <v>74</v>
      </c>
      <c r="C17" s="2" t="s">
        <v>69</v>
      </c>
      <c r="D17" s="2" t="s">
        <v>113</v>
      </c>
      <c r="E17" s="2" t="s">
        <v>71</v>
      </c>
      <c r="F17" s="2" t="s">
        <v>114</v>
      </c>
      <c r="G17" s="2" t="s">
        <v>86</v>
      </c>
      <c r="H17" s="3">
        <v>44488</v>
      </c>
      <c r="I17" s="2" t="s">
        <v>115</v>
      </c>
      <c r="J17" s="2" t="s">
        <v>96</v>
      </c>
      <c r="K17" s="4">
        <v>2021</v>
      </c>
      <c r="L17" s="4">
        <v>2.5099999999999998</v>
      </c>
      <c r="M17" s="4" t="s">
        <v>73</v>
      </c>
      <c r="N17" s="4" t="s">
        <v>116</v>
      </c>
      <c r="O17" s="4">
        <v>27.61</v>
      </c>
      <c r="P17" s="4">
        <v>276</v>
      </c>
      <c r="Q17" s="12">
        <v>27.334</v>
      </c>
      <c r="R17" s="4" t="s">
        <v>117</v>
      </c>
      <c r="S17" s="4">
        <v>371.48</v>
      </c>
      <c r="T17" s="4">
        <v>-344.14600000000002</v>
      </c>
    </row>
    <row r="18" spans="1:20" ht="29.4" thickBot="1" x14ac:dyDescent="0.35">
      <c r="A18" s="2" t="s">
        <v>43</v>
      </c>
      <c r="B18" s="2" t="s">
        <v>21</v>
      </c>
      <c r="C18" s="2" t="s">
        <v>75</v>
      </c>
      <c r="D18" s="2" t="s">
        <v>118</v>
      </c>
      <c r="E18" s="2" t="s">
        <v>77</v>
      </c>
      <c r="F18" s="2" t="s">
        <v>119</v>
      </c>
      <c r="G18" s="2" t="s">
        <v>86</v>
      </c>
      <c r="H18" s="3">
        <v>44408</v>
      </c>
      <c r="I18" s="2" t="s">
        <v>62</v>
      </c>
      <c r="J18" s="2" t="s">
        <v>28</v>
      </c>
      <c r="K18" s="4">
        <v>2021</v>
      </c>
      <c r="L18" s="4">
        <v>593</v>
      </c>
      <c r="M18" s="4" t="s">
        <v>80</v>
      </c>
      <c r="N18" s="4" t="s">
        <v>47</v>
      </c>
      <c r="O18" s="4">
        <v>266.85000000000002</v>
      </c>
      <c r="P18" s="4">
        <v>2.669</v>
      </c>
      <c r="Q18" s="12">
        <v>264.18200000000002</v>
      </c>
      <c r="R18" s="4" t="s">
        <v>97</v>
      </c>
      <c r="S18" s="4">
        <v>182.64400000000001</v>
      </c>
      <c r="T18" s="4">
        <v>81.537999999999997</v>
      </c>
    </row>
    <row r="19" spans="1:20" ht="29.4" thickBot="1" x14ac:dyDescent="0.35">
      <c r="A19" s="2" t="s">
        <v>58</v>
      </c>
      <c r="B19" s="2" t="s">
        <v>34</v>
      </c>
      <c r="C19" s="2" t="s">
        <v>120</v>
      </c>
      <c r="D19" s="2" t="s">
        <v>121</v>
      </c>
      <c r="E19" s="2" t="s">
        <v>122</v>
      </c>
      <c r="F19" s="2" t="s">
        <v>123</v>
      </c>
      <c r="G19" s="2" t="s">
        <v>86</v>
      </c>
      <c r="H19" s="3">
        <v>44284</v>
      </c>
      <c r="I19" s="2" t="s">
        <v>112</v>
      </c>
      <c r="J19" s="2" t="s">
        <v>40</v>
      </c>
      <c r="K19" s="4">
        <v>2021</v>
      </c>
      <c r="L19" s="4">
        <v>2.387</v>
      </c>
      <c r="M19" s="4" t="s">
        <v>124</v>
      </c>
      <c r="N19" s="4" t="s">
        <v>63</v>
      </c>
      <c r="O19" s="4">
        <v>42.966000000000001</v>
      </c>
      <c r="P19" s="4">
        <v>430</v>
      </c>
      <c r="Q19" s="12">
        <v>42.536000000000001</v>
      </c>
      <c r="R19" s="4" t="s">
        <v>125</v>
      </c>
      <c r="S19" s="4">
        <v>763.84</v>
      </c>
      <c r="T19" s="4">
        <v>-721.30399999999997</v>
      </c>
    </row>
    <row r="20" spans="1:20" ht="15" thickBot="1" x14ac:dyDescent="0.35">
      <c r="A20" s="2" t="s">
        <v>33</v>
      </c>
      <c r="B20" s="2" t="s">
        <v>44</v>
      </c>
      <c r="C20" s="2" t="s">
        <v>120</v>
      </c>
      <c r="D20" s="2" t="s">
        <v>126</v>
      </c>
      <c r="E20" s="2" t="s">
        <v>122</v>
      </c>
      <c r="F20" s="2" t="s">
        <v>127</v>
      </c>
      <c r="G20" s="2" t="s">
        <v>86</v>
      </c>
      <c r="H20" s="3">
        <v>44404</v>
      </c>
      <c r="I20" s="2" t="s">
        <v>62</v>
      </c>
      <c r="J20" s="2" t="s">
        <v>28</v>
      </c>
      <c r="K20" s="4">
        <v>2021</v>
      </c>
      <c r="L20" s="4">
        <v>385</v>
      </c>
      <c r="M20" s="4" t="s">
        <v>124</v>
      </c>
      <c r="N20" s="4" t="s">
        <v>42</v>
      </c>
      <c r="O20" s="4">
        <v>8.8550000000000004</v>
      </c>
      <c r="P20" s="4">
        <v>89</v>
      </c>
      <c r="Q20" s="12">
        <v>8.766</v>
      </c>
      <c r="R20" s="5">
        <v>28216</v>
      </c>
      <c r="S20" s="4">
        <v>123.2</v>
      </c>
      <c r="T20" s="4">
        <v>-114.434</v>
      </c>
    </row>
    <row r="21" spans="1:20" ht="29.4" thickBot="1" x14ac:dyDescent="0.35">
      <c r="A21" s="2" t="s">
        <v>43</v>
      </c>
      <c r="B21" s="2" t="s">
        <v>50</v>
      </c>
      <c r="C21" s="2" t="s">
        <v>82</v>
      </c>
      <c r="D21" s="2" t="s">
        <v>128</v>
      </c>
      <c r="E21" s="2" t="s">
        <v>84</v>
      </c>
      <c r="F21" s="2" t="s">
        <v>129</v>
      </c>
      <c r="G21" s="2" t="s">
        <v>86</v>
      </c>
      <c r="H21" s="3">
        <v>44073</v>
      </c>
      <c r="I21" s="2" t="s">
        <v>53</v>
      </c>
      <c r="J21" s="2" t="s">
        <v>28</v>
      </c>
      <c r="K21" s="4">
        <v>2020</v>
      </c>
      <c r="L21" s="4">
        <v>257</v>
      </c>
      <c r="M21" s="4" t="s">
        <v>87</v>
      </c>
      <c r="N21" s="4" t="s">
        <v>47</v>
      </c>
      <c r="O21" s="4">
        <v>115.65</v>
      </c>
      <c r="P21" s="4">
        <v>2.3130000000000002</v>
      </c>
      <c r="Q21" s="12">
        <v>113.337</v>
      </c>
      <c r="R21" s="4" t="s">
        <v>130</v>
      </c>
      <c r="S21" s="4">
        <v>1.028</v>
      </c>
      <c r="T21" s="4">
        <v>112.309</v>
      </c>
    </row>
    <row r="22" spans="1:20" ht="15" thickBot="1" x14ac:dyDescent="0.35">
      <c r="A22" s="2" t="s">
        <v>49</v>
      </c>
      <c r="B22" s="2" t="s">
        <v>59</v>
      </c>
      <c r="C22" s="2" t="s">
        <v>82</v>
      </c>
      <c r="D22" s="2" t="s">
        <v>131</v>
      </c>
      <c r="E22" s="2" t="s">
        <v>84</v>
      </c>
      <c r="F22" s="2" t="s">
        <v>132</v>
      </c>
      <c r="G22" s="2" t="s">
        <v>86</v>
      </c>
      <c r="H22" s="3">
        <v>44119</v>
      </c>
      <c r="I22" s="2" t="s">
        <v>115</v>
      </c>
      <c r="J22" s="2" t="s">
        <v>96</v>
      </c>
      <c r="K22" s="4">
        <v>2020</v>
      </c>
      <c r="L22" s="4">
        <v>2.5739999999999998</v>
      </c>
      <c r="M22" s="4" t="s">
        <v>87</v>
      </c>
      <c r="N22" s="4" t="s">
        <v>116</v>
      </c>
      <c r="O22" s="4">
        <v>28.314</v>
      </c>
      <c r="P22" s="4">
        <v>566</v>
      </c>
      <c r="Q22" s="12">
        <v>27.748000000000001</v>
      </c>
      <c r="R22" s="4" t="s">
        <v>133</v>
      </c>
      <c r="S22" s="4">
        <v>10.295999999999999</v>
      </c>
      <c r="T22" s="4">
        <v>17.452000000000002</v>
      </c>
    </row>
    <row r="23" spans="1:20" ht="15" thickBot="1" x14ac:dyDescent="0.35">
      <c r="A23" s="2" t="s">
        <v>20</v>
      </c>
      <c r="B23" s="2" t="s">
        <v>64</v>
      </c>
      <c r="C23" s="2" t="s">
        <v>22</v>
      </c>
      <c r="D23" s="2" t="s">
        <v>134</v>
      </c>
      <c r="E23" s="2" t="s">
        <v>24</v>
      </c>
      <c r="F23" s="2" t="s">
        <v>135</v>
      </c>
      <c r="G23" s="2" t="s">
        <v>86</v>
      </c>
      <c r="H23" s="3">
        <v>44499</v>
      </c>
      <c r="I23" s="2" t="s">
        <v>115</v>
      </c>
      <c r="J23" s="2" t="s">
        <v>96</v>
      </c>
      <c r="K23" s="4">
        <v>2021</v>
      </c>
      <c r="L23" s="4">
        <v>1.992</v>
      </c>
      <c r="M23" s="4" t="s">
        <v>29</v>
      </c>
      <c r="N23" s="4" t="s">
        <v>30</v>
      </c>
      <c r="O23" s="4">
        <v>374.49599999999998</v>
      </c>
      <c r="P23" s="4">
        <v>7.49</v>
      </c>
      <c r="Q23" s="12">
        <v>367.00599999999997</v>
      </c>
      <c r="R23" s="4" t="s">
        <v>136</v>
      </c>
      <c r="S23" s="4">
        <v>11.952</v>
      </c>
      <c r="T23" s="4">
        <v>355.05399999999997</v>
      </c>
    </row>
    <row r="24" spans="1:20" ht="15" thickBot="1" x14ac:dyDescent="0.35">
      <c r="A24" s="2" t="s">
        <v>20</v>
      </c>
      <c r="B24" s="2" t="s">
        <v>68</v>
      </c>
      <c r="C24" s="2" t="s">
        <v>35</v>
      </c>
      <c r="D24" s="2" t="s">
        <v>137</v>
      </c>
      <c r="E24" s="2" t="s">
        <v>37</v>
      </c>
      <c r="F24" s="2" t="s">
        <v>138</v>
      </c>
      <c r="G24" s="2" t="s">
        <v>86</v>
      </c>
      <c r="H24" s="3">
        <v>44175</v>
      </c>
      <c r="I24" s="2" t="s">
        <v>100</v>
      </c>
      <c r="J24" s="2" t="s">
        <v>96</v>
      </c>
      <c r="K24" s="4">
        <v>2020</v>
      </c>
      <c r="L24" s="4">
        <v>971</v>
      </c>
      <c r="M24" s="4" t="s">
        <v>41</v>
      </c>
      <c r="N24" s="4" t="s">
        <v>30</v>
      </c>
      <c r="O24" s="4">
        <v>182.548</v>
      </c>
      <c r="P24" s="4">
        <v>3.6509999999999998</v>
      </c>
      <c r="Q24" s="12">
        <v>178.89699999999999</v>
      </c>
      <c r="R24" s="4" t="s">
        <v>139</v>
      </c>
      <c r="S24" s="4">
        <v>11.651999999999999</v>
      </c>
      <c r="T24" s="4">
        <v>167.245</v>
      </c>
    </row>
    <row r="25" spans="1:20" ht="15" thickBot="1" x14ac:dyDescent="0.35">
      <c r="A25" s="2" t="s">
        <v>20</v>
      </c>
      <c r="B25" s="2" t="s">
        <v>74</v>
      </c>
      <c r="C25" s="2" t="s">
        <v>35</v>
      </c>
      <c r="D25" s="2" t="s">
        <v>140</v>
      </c>
      <c r="E25" s="2" t="s">
        <v>37</v>
      </c>
      <c r="F25" s="2" t="s">
        <v>141</v>
      </c>
      <c r="G25" s="2" t="s">
        <v>86</v>
      </c>
      <c r="H25" s="3">
        <v>43974</v>
      </c>
      <c r="I25" s="2" t="s">
        <v>142</v>
      </c>
      <c r="J25" s="2" t="s">
        <v>92</v>
      </c>
      <c r="K25" s="4">
        <v>2020</v>
      </c>
      <c r="L25" s="4">
        <v>2.5739999999999998</v>
      </c>
      <c r="M25" s="4" t="s">
        <v>41</v>
      </c>
      <c r="N25" s="4" t="s">
        <v>30</v>
      </c>
      <c r="O25" s="4">
        <v>483.91199999999998</v>
      </c>
      <c r="P25" s="4">
        <v>9.6780000000000008</v>
      </c>
      <c r="Q25" s="12">
        <v>474.23399999999998</v>
      </c>
      <c r="R25" s="4" t="s">
        <v>143</v>
      </c>
      <c r="S25" s="4">
        <v>30.888000000000002</v>
      </c>
      <c r="T25" s="4">
        <v>443.346</v>
      </c>
    </row>
    <row r="26" spans="1:20" ht="29.4" thickBot="1" x14ac:dyDescent="0.35">
      <c r="A26" s="2" t="s">
        <v>58</v>
      </c>
      <c r="B26" s="2" t="s">
        <v>21</v>
      </c>
      <c r="C26" s="2" t="s">
        <v>35</v>
      </c>
      <c r="D26" s="2" t="s">
        <v>144</v>
      </c>
      <c r="E26" s="2" t="s">
        <v>37</v>
      </c>
      <c r="F26" s="2" t="s">
        <v>145</v>
      </c>
      <c r="G26" s="2" t="s">
        <v>86</v>
      </c>
      <c r="H26" s="3">
        <v>43879</v>
      </c>
      <c r="I26" s="2" t="s">
        <v>79</v>
      </c>
      <c r="J26" s="2" t="s">
        <v>40</v>
      </c>
      <c r="K26" s="4">
        <v>2020</v>
      </c>
      <c r="L26" s="4">
        <v>2.1419999999999999</v>
      </c>
      <c r="M26" s="4" t="s">
        <v>41</v>
      </c>
      <c r="N26" s="4" t="s">
        <v>63</v>
      </c>
      <c r="O26" s="4">
        <v>38.555999999999997</v>
      </c>
      <c r="P26" s="4">
        <v>771</v>
      </c>
      <c r="Q26" s="12">
        <v>37.784999999999997</v>
      </c>
      <c r="R26" s="4" t="s">
        <v>146</v>
      </c>
      <c r="S26" s="4">
        <v>25.704000000000001</v>
      </c>
      <c r="T26" s="4">
        <v>12.081</v>
      </c>
    </row>
    <row r="27" spans="1:20" ht="15" thickBot="1" x14ac:dyDescent="0.35">
      <c r="A27" s="2" t="s">
        <v>33</v>
      </c>
      <c r="B27" s="2" t="s">
        <v>34</v>
      </c>
      <c r="C27" s="2" t="s">
        <v>35</v>
      </c>
      <c r="D27" s="2" t="s">
        <v>147</v>
      </c>
      <c r="E27" s="2" t="s">
        <v>37</v>
      </c>
      <c r="F27" s="2" t="s">
        <v>148</v>
      </c>
      <c r="G27" s="2" t="s">
        <v>86</v>
      </c>
      <c r="H27" s="3">
        <v>43858</v>
      </c>
      <c r="I27" s="2" t="s">
        <v>39</v>
      </c>
      <c r="J27" s="2" t="s">
        <v>40</v>
      </c>
      <c r="K27" s="4">
        <v>2020</v>
      </c>
      <c r="L27" s="4">
        <v>2.31</v>
      </c>
      <c r="M27" s="4" t="s">
        <v>41</v>
      </c>
      <c r="N27" s="4" t="s">
        <v>42</v>
      </c>
      <c r="O27" s="4">
        <v>53.13</v>
      </c>
      <c r="P27" s="4">
        <v>1.0629999999999999</v>
      </c>
      <c r="Q27" s="12">
        <v>52.067</v>
      </c>
      <c r="R27" s="4" t="s">
        <v>149</v>
      </c>
      <c r="S27" s="4">
        <v>27.72</v>
      </c>
      <c r="T27" s="4">
        <v>24.347000000000001</v>
      </c>
    </row>
    <row r="28" spans="1:20" ht="15" thickBot="1" x14ac:dyDescent="0.35">
      <c r="A28" s="2" t="s">
        <v>49</v>
      </c>
      <c r="B28" s="2" t="s">
        <v>44</v>
      </c>
      <c r="C28" s="2" t="s">
        <v>35</v>
      </c>
      <c r="D28" s="2" t="s">
        <v>150</v>
      </c>
      <c r="E28" s="2" t="s">
        <v>37</v>
      </c>
      <c r="F28" s="2" t="s">
        <v>151</v>
      </c>
      <c r="G28" s="2" t="s">
        <v>86</v>
      </c>
      <c r="H28" s="3">
        <v>44551</v>
      </c>
      <c r="I28" s="2" t="s">
        <v>100</v>
      </c>
      <c r="J28" s="2" t="s">
        <v>96</v>
      </c>
      <c r="K28" s="4">
        <v>2021</v>
      </c>
      <c r="L28" s="4">
        <v>2.4159999999999999</v>
      </c>
      <c r="M28" s="4" t="s">
        <v>41</v>
      </c>
      <c r="N28" s="4" t="s">
        <v>116</v>
      </c>
      <c r="O28" s="4">
        <v>26.576000000000001</v>
      </c>
      <c r="P28" s="4">
        <v>532</v>
      </c>
      <c r="Q28" s="12">
        <v>26.044</v>
      </c>
      <c r="R28" s="4" t="s">
        <v>152</v>
      </c>
      <c r="S28" s="4">
        <v>28.992000000000001</v>
      </c>
      <c r="T28" s="4">
        <v>-2.948</v>
      </c>
    </row>
    <row r="29" spans="1:20" ht="15" thickBot="1" x14ac:dyDescent="0.35">
      <c r="A29" s="2" t="s">
        <v>49</v>
      </c>
      <c r="B29" s="2" t="s">
        <v>50</v>
      </c>
      <c r="C29" s="2" t="s">
        <v>69</v>
      </c>
      <c r="D29" s="2" t="s">
        <v>153</v>
      </c>
      <c r="E29" s="2" t="s">
        <v>71</v>
      </c>
      <c r="F29" s="2" t="s">
        <v>154</v>
      </c>
      <c r="G29" s="2" t="s">
        <v>86</v>
      </c>
      <c r="H29" s="3">
        <v>44209</v>
      </c>
      <c r="I29" s="2" t="s">
        <v>39</v>
      </c>
      <c r="J29" s="2" t="s">
        <v>40</v>
      </c>
      <c r="K29" s="4">
        <v>2021</v>
      </c>
      <c r="L29" s="4">
        <v>3.5590000000000002</v>
      </c>
      <c r="M29" s="4" t="s">
        <v>73</v>
      </c>
      <c r="N29" s="4" t="s">
        <v>54</v>
      </c>
      <c r="O29" s="4" t="s">
        <v>155</v>
      </c>
      <c r="P29" s="4">
        <v>37.369999999999997</v>
      </c>
      <c r="Q29" s="12" t="s">
        <v>156</v>
      </c>
      <c r="R29" s="4" t="s">
        <v>157</v>
      </c>
      <c r="S29" s="4">
        <v>526.73199999999997</v>
      </c>
      <c r="T29" s="4" t="s">
        <v>158</v>
      </c>
    </row>
    <row r="30" spans="1:20" ht="15" thickBot="1" x14ac:dyDescent="0.35">
      <c r="A30" s="2" t="s">
        <v>20</v>
      </c>
      <c r="B30" s="2" t="s">
        <v>59</v>
      </c>
      <c r="C30" s="2" t="s">
        <v>69</v>
      </c>
      <c r="D30" s="2" t="s">
        <v>159</v>
      </c>
      <c r="E30" s="2" t="s">
        <v>71</v>
      </c>
      <c r="F30" s="2" t="s">
        <v>160</v>
      </c>
      <c r="G30" s="2" t="s">
        <v>86</v>
      </c>
      <c r="H30" s="3">
        <v>44508</v>
      </c>
      <c r="I30" s="2" t="s">
        <v>95</v>
      </c>
      <c r="J30" s="2" t="s">
        <v>96</v>
      </c>
      <c r="K30" s="4">
        <v>2021</v>
      </c>
      <c r="L30" s="4">
        <v>971</v>
      </c>
      <c r="M30" s="4" t="s">
        <v>73</v>
      </c>
      <c r="N30" s="4" t="s">
        <v>30</v>
      </c>
      <c r="O30" s="4">
        <v>182.548</v>
      </c>
      <c r="P30" s="4">
        <v>3.6509999999999998</v>
      </c>
      <c r="Q30" s="12">
        <v>178.89699999999999</v>
      </c>
      <c r="R30" s="4" t="s">
        <v>139</v>
      </c>
      <c r="S30" s="4">
        <v>143.708</v>
      </c>
      <c r="T30" s="4">
        <v>35.189</v>
      </c>
    </row>
    <row r="31" spans="1:20" ht="15" thickBot="1" x14ac:dyDescent="0.35">
      <c r="A31" s="2" t="s">
        <v>20</v>
      </c>
      <c r="B31" s="2" t="s">
        <v>64</v>
      </c>
      <c r="C31" s="2" t="s">
        <v>69</v>
      </c>
      <c r="D31" s="2" t="s">
        <v>161</v>
      </c>
      <c r="E31" s="2" t="s">
        <v>71</v>
      </c>
      <c r="F31" s="2" t="s">
        <v>162</v>
      </c>
      <c r="G31" s="2" t="s">
        <v>86</v>
      </c>
      <c r="H31" s="3">
        <v>43849</v>
      </c>
      <c r="I31" s="2" t="s">
        <v>39</v>
      </c>
      <c r="J31" s="2" t="s">
        <v>40</v>
      </c>
      <c r="K31" s="4">
        <v>2020</v>
      </c>
      <c r="L31" s="4">
        <v>2.5739999999999998</v>
      </c>
      <c r="M31" s="4" t="s">
        <v>73</v>
      </c>
      <c r="N31" s="4" t="s">
        <v>30</v>
      </c>
      <c r="O31" s="4">
        <v>483.91199999999998</v>
      </c>
      <c r="P31" s="4">
        <v>9.6780000000000008</v>
      </c>
      <c r="Q31" s="12">
        <v>474.23399999999998</v>
      </c>
      <c r="R31" s="4" t="s">
        <v>143</v>
      </c>
      <c r="S31" s="4">
        <v>380.952</v>
      </c>
      <c r="T31" s="4">
        <v>93.281999999999996</v>
      </c>
    </row>
    <row r="32" spans="1:20" ht="15" thickBot="1" x14ac:dyDescent="0.35">
      <c r="A32" s="2" t="s">
        <v>49</v>
      </c>
      <c r="B32" s="2" t="s">
        <v>68</v>
      </c>
      <c r="C32" s="2" t="s">
        <v>69</v>
      </c>
      <c r="D32" s="2" t="s">
        <v>163</v>
      </c>
      <c r="E32" s="2" t="s">
        <v>71</v>
      </c>
      <c r="F32" s="2" t="s">
        <v>164</v>
      </c>
      <c r="G32" s="2" t="s">
        <v>86</v>
      </c>
      <c r="H32" s="3">
        <v>44042</v>
      </c>
      <c r="I32" s="2" t="s">
        <v>62</v>
      </c>
      <c r="J32" s="2" t="s">
        <v>28</v>
      </c>
      <c r="K32" s="4">
        <v>2020</v>
      </c>
      <c r="L32" s="4">
        <v>653</v>
      </c>
      <c r="M32" s="4" t="s">
        <v>73</v>
      </c>
      <c r="N32" s="4" t="s">
        <v>165</v>
      </c>
      <c r="O32" s="4">
        <v>19.59</v>
      </c>
      <c r="P32" s="4">
        <v>392</v>
      </c>
      <c r="Q32" s="12">
        <v>19.198</v>
      </c>
      <c r="R32" s="5">
        <v>24381</v>
      </c>
      <c r="S32" s="4">
        <v>96.644000000000005</v>
      </c>
      <c r="T32" s="4">
        <v>-77.445999999999998</v>
      </c>
    </row>
    <row r="33" spans="1:20" ht="29.4" thickBot="1" x14ac:dyDescent="0.35">
      <c r="A33" s="2" t="s">
        <v>43</v>
      </c>
      <c r="B33" s="2" t="s">
        <v>74</v>
      </c>
      <c r="C33" s="2" t="s">
        <v>75</v>
      </c>
      <c r="D33" s="2" t="s">
        <v>166</v>
      </c>
      <c r="E33" s="2" t="s">
        <v>77</v>
      </c>
      <c r="F33" s="2" t="s">
        <v>167</v>
      </c>
      <c r="G33" s="2" t="s">
        <v>86</v>
      </c>
      <c r="H33" s="3">
        <v>43882</v>
      </c>
      <c r="I33" s="2" t="s">
        <v>79</v>
      </c>
      <c r="J33" s="2" t="s">
        <v>40</v>
      </c>
      <c r="K33" s="4">
        <v>2020</v>
      </c>
      <c r="L33" s="4">
        <v>257</v>
      </c>
      <c r="M33" s="4" t="s">
        <v>80</v>
      </c>
      <c r="N33" s="4" t="s">
        <v>47</v>
      </c>
      <c r="O33" s="4">
        <v>115.65</v>
      </c>
      <c r="P33" s="4">
        <v>2.3130000000000002</v>
      </c>
      <c r="Q33" s="12">
        <v>113.337</v>
      </c>
      <c r="R33" s="4" t="s">
        <v>130</v>
      </c>
      <c r="S33" s="4">
        <v>79.156000000000006</v>
      </c>
      <c r="T33" s="4">
        <v>34.180999999999997</v>
      </c>
    </row>
    <row r="34" spans="1:20" ht="15" thickBot="1" x14ac:dyDescent="0.35">
      <c r="A34" s="2" t="s">
        <v>49</v>
      </c>
      <c r="B34" s="2" t="s">
        <v>21</v>
      </c>
      <c r="C34" s="2" t="s">
        <v>75</v>
      </c>
      <c r="D34" s="2" t="s">
        <v>168</v>
      </c>
      <c r="E34" s="2" t="s">
        <v>77</v>
      </c>
      <c r="F34" s="2" t="s">
        <v>169</v>
      </c>
      <c r="G34" s="2" t="s">
        <v>86</v>
      </c>
      <c r="H34" s="3">
        <v>44224</v>
      </c>
      <c r="I34" s="2" t="s">
        <v>39</v>
      </c>
      <c r="J34" s="2" t="s">
        <v>40</v>
      </c>
      <c r="K34" s="4">
        <v>2021</v>
      </c>
      <c r="L34" s="4">
        <v>319</v>
      </c>
      <c r="M34" s="4" t="s">
        <v>80</v>
      </c>
      <c r="N34" s="4" t="s">
        <v>54</v>
      </c>
      <c r="O34" s="4">
        <v>167.47499999999999</v>
      </c>
      <c r="P34" s="4">
        <v>3.35</v>
      </c>
      <c r="Q34" s="12">
        <v>164.126</v>
      </c>
      <c r="R34" s="4" t="s">
        <v>170</v>
      </c>
      <c r="S34" s="4">
        <v>98.251999999999995</v>
      </c>
      <c r="T34" s="4">
        <v>65.873999999999995</v>
      </c>
    </row>
    <row r="35" spans="1:20" ht="15" thickBot="1" x14ac:dyDescent="0.35">
      <c r="A35" s="2" t="s">
        <v>49</v>
      </c>
      <c r="B35" s="2" t="s">
        <v>34</v>
      </c>
      <c r="C35" s="2" t="s">
        <v>75</v>
      </c>
      <c r="D35" s="2" t="s">
        <v>171</v>
      </c>
      <c r="E35" s="2" t="s">
        <v>77</v>
      </c>
      <c r="F35" s="2" t="s">
        <v>172</v>
      </c>
      <c r="G35" s="2" t="s">
        <v>86</v>
      </c>
      <c r="H35" s="3">
        <v>44208</v>
      </c>
      <c r="I35" s="2" t="s">
        <v>39</v>
      </c>
      <c r="J35" s="2" t="s">
        <v>40</v>
      </c>
      <c r="K35" s="4">
        <v>2021</v>
      </c>
      <c r="L35" s="4">
        <v>2.3279999999999998</v>
      </c>
      <c r="M35" s="4" t="s">
        <v>80</v>
      </c>
      <c r="N35" s="4" t="s">
        <v>54</v>
      </c>
      <c r="O35" s="4" t="s">
        <v>173</v>
      </c>
      <c r="P35" s="4">
        <v>24.443999999999999</v>
      </c>
      <c r="Q35" s="12" t="s">
        <v>174</v>
      </c>
      <c r="R35" s="4" t="s">
        <v>175</v>
      </c>
      <c r="S35" s="4">
        <v>717.024</v>
      </c>
      <c r="T35" s="4">
        <v>480.73200000000003</v>
      </c>
    </row>
    <row r="36" spans="1:20" ht="15" thickBot="1" x14ac:dyDescent="0.35">
      <c r="A36" s="2" t="s">
        <v>49</v>
      </c>
      <c r="B36" s="2" t="s">
        <v>44</v>
      </c>
      <c r="C36" s="2" t="s">
        <v>120</v>
      </c>
      <c r="D36" s="2" t="s">
        <v>176</v>
      </c>
      <c r="E36" s="2" t="s">
        <v>122</v>
      </c>
      <c r="F36" s="2" t="s">
        <v>177</v>
      </c>
      <c r="G36" s="2" t="s">
        <v>86</v>
      </c>
      <c r="H36" s="3">
        <v>44378</v>
      </c>
      <c r="I36" s="2" t="s">
        <v>62</v>
      </c>
      <c r="J36" s="2" t="s">
        <v>28</v>
      </c>
      <c r="K36" s="4">
        <v>2021</v>
      </c>
      <c r="L36" s="4">
        <v>3.5590000000000002</v>
      </c>
      <c r="M36" s="4" t="s">
        <v>124</v>
      </c>
      <c r="N36" s="4" t="s">
        <v>54</v>
      </c>
      <c r="O36" s="4" t="s">
        <v>155</v>
      </c>
      <c r="P36" s="4">
        <v>37.369999999999997</v>
      </c>
      <c r="Q36" s="12" t="s">
        <v>156</v>
      </c>
      <c r="R36" s="4" t="s">
        <v>157</v>
      </c>
      <c r="S36" s="4" t="s">
        <v>178</v>
      </c>
      <c r="T36" s="4">
        <v>692.226</v>
      </c>
    </row>
    <row r="37" spans="1:20" ht="29.4" thickBot="1" x14ac:dyDescent="0.35">
      <c r="A37" s="2" t="s">
        <v>58</v>
      </c>
      <c r="B37" s="2" t="s">
        <v>50</v>
      </c>
      <c r="C37" s="2" t="s">
        <v>82</v>
      </c>
      <c r="D37" s="2" t="s">
        <v>179</v>
      </c>
      <c r="E37" s="2" t="s">
        <v>84</v>
      </c>
      <c r="F37" s="2" t="s">
        <v>180</v>
      </c>
      <c r="G37" s="2" t="s">
        <v>86</v>
      </c>
      <c r="H37" s="3">
        <v>44541</v>
      </c>
      <c r="I37" s="2" t="s">
        <v>100</v>
      </c>
      <c r="J37" s="2" t="s">
        <v>96</v>
      </c>
      <c r="K37" s="4">
        <v>2021</v>
      </c>
      <c r="L37" s="4">
        <v>1.0900000000000001</v>
      </c>
      <c r="M37" s="4" t="s">
        <v>87</v>
      </c>
      <c r="N37" s="4" t="s">
        <v>63</v>
      </c>
      <c r="O37" s="4">
        <v>19.62</v>
      </c>
      <c r="P37" s="4">
        <v>589</v>
      </c>
      <c r="Q37" s="12">
        <v>19.030999999999999</v>
      </c>
      <c r="R37" s="5">
        <v>21094</v>
      </c>
      <c r="S37" s="4">
        <v>4.3600000000000003</v>
      </c>
      <c r="T37" s="4">
        <v>14.670999999999999</v>
      </c>
    </row>
    <row r="38" spans="1:20" ht="15" thickBot="1" x14ac:dyDescent="0.35">
      <c r="A38" s="2" t="s">
        <v>49</v>
      </c>
      <c r="B38" s="2" t="s">
        <v>59</v>
      </c>
      <c r="C38" s="2" t="s">
        <v>22</v>
      </c>
      <c r="D38" s="2" t="s">
        <v>181</v>
      </c>
      <c r="E38" s="2" t="s">
        <v>24</v>
      </c>
      <c r="F38" s="2" t="s">
        <v>182</v>
      </c>
      <c r="G38" s="2" t="s">
        <v>86</v>
      </c>
      <c r="H38" s="3">
        <v>43967</v>
      </c>
      <c r="I38" s="2" t="s">
        <v>142</v>
      </c>
      <c r="J38" s="2" t="s">
        <v>92</v>
      </c>
      <c r="K38" s="4">
        <v>2020</v>
      </c>
      <c r="L38" s="4">
        <v>2.1560000000000001</v>
      </c>
      <c r="M38" s="4" t="s">
        <v>29</v>
      </c>
      <c r="N38" s="4" t="s">
        <v>54</v>
      </c>
      <c r="O38" s="4" t="s">
        <v>183</v>
      </c>
      <c r="P38" s="4">
        <v>33.957000000000001</v>
      </c>
      <c r="Q38" s="12" t="s">
        <v>184</v>
      </c>
      <c r="R38" s="4" t="s">
        <v>185</v>
      </c>
      <c r="S38" s="4">
        <v>12.936</v>
      </c>
      <c r="T38" s="4" t="s">
        <v>186</v>
      </c>
    </row>
    <row r="39" spans="1:20" ht="15" thickBot="1" x14ac:dyDescent="0.35">
      <c r="A39" s="2" t="s">
        <v>33</v>
      </c>
      <c r="B39" s="2" t="s">
        <v>64</v>
      </c>
      <c r="C39" s="2" t="s">
        <v>35</v>
      </c>
      <c r="D39" s="2" t="s">
        <v>187</v>
      </c>
      <c r="E39" s="2" t="s">
        <v>37</v>
      </c>
      <c r="F39" s="2" t="s">
        <v>188</v>
      </c>
      <c r="G39" s="2" t="s">
        <v>86</v>
      </c>
      <c r="H39" s="3">
        <v>44318</v>
      </c>
      <c r="I39" s="2" t="s">
        <v>142</v>
      </c>
      <c r="J39" s="2" t="s">
        <v>92</v>
      </c>
      <c r="K39" s="4">
        <v>2021</v>
      </c>
      <c r="L39" s="4">
        <v>2.3340000000000001</v>
      </c>
      <c r="M39" s="4" t="s">
        <v>41</v>
      </c>
      <c r="N39" s="4" t="s">
        <v>42</v>
      </c>
      <c r="O39" s="4">
        <v>53.682000000000002</v>
      </c>
      <c r="P39" s="4">
        <v>1.61</v>
      </c>
      <c r="Q39" s="12">
        <v>52.072000000000003</v>
      </c>
      <c r="R39" s="4" t="s">
        <v>149</v>
      </c>
      <c r="S39" s="4">
        <v>28.007999999999999</v>
      </c>
      <c r="T39" s="4">
        <v>24.064</v>
      </c>
    </row>
    <row r="40" spans="1:20" ht="15" thickBot="1" x14ac:dyDescent="0.35">
      <c r="A40" s="2" t="s">
        <v>33</v>
      </c>
      <c r="B40" s="2" t="s">
        <v>68</v>
      </c>
      <c r="C40" s="2" t="s">
        <v>75</v>
      </c>
      <c r="D40" s="2" t="s">
        <v>189</v>
      </c>
      <c r="E40" s="2" t="s">
        <v>77</v>
      </c>
      <c r="F40" s="2" t="s">
        <v>190</v>
      </c>
      <c r="G40" s="2" t="s">
        <v>86</v>
      </c>
      <c r="H40" s="3">
        <v>44288</v>
      </c>
      <c r="I40" s="2" t="s">
        <v>91</v>
      </c>
      <c r="J40" s="2" t="s">
        <v>92</v>
      </c>
      <c r="K40" s="4">
        <v>2021</v>
      </c>
      <c r="L40" s="4">
        <v>2.3340000000000001</v>
      </c>
      <c r="M40" s="4" t="s">
        <v>80</v>
      </c>
      <c r="N40" s="4" t="s">
        <v>42</v>
      </c>
      <c r="O40" s="4">
        <v>53.682000000000002</v>
      </c>
      <c r="P40" s="4">
        <v>1.61</v>
      </c>
      <c r="Q40" s="12">
        <v>52.072000000000003</v>
      </c>
      <c r="R40" s="4" t="s">
        <v>149</v>
      </c>
      <c r="S40" s="4">
        <v>718.87199999999996</v>
      </c>
      <c r="T40" s="4">
        <v>-666.8</v>
      </c>
    </row>
    <row r="41" spans="1:20" ht="15" thickBot="1" x14ac:dyDescent="0.35">
      <c r="A41" s="2" t="s">
        <v>49</v>
      </c>
      <c r="B41" s="2" t="s">
        <v>74</v>
      </c>
      <c r="C41" s="2" t="s">
        <v>35</v>
      </c>
      <c r="D41" s="2" t="s">
        <v>191</v>
      </c>
      <c r="E41" s="2" t="s">
        <v>37</v>
      </c>
      <c r="F41" s="2" t="s">
        <v>192</v>
      </c>
      <c r="G41" s="2" t="s">
        <v>86</v>
      </c>
      <c r="H41" s="3">
        <v>44138</v>
      </c>
      <c r="I41" s="2" t="s">
        <v>95</v>
      </c>
      <c r="J41" s="2" t="s">
        <v>96</v>
      </c>
      <c r="K41" s="4">
        <v>2020</v>
      </c>
      <c r="L41" s="4">
        <v>2.1120000000000001</v>
      </c>
      <c r="M41" s="4" t="s">
        <v>41</v>
      </c>
      <c r="N41" s="4" t="s">
        <v>116</v>
      </c>
      <c r="O41" s="4">
        <v>23.231999999999999</v>
      </c>
      <c r="P41" s="4">
        <v>697</v>
      </c>
      <c r="Q41" s="12">
        <v>22.535</v>
      </c>
      <c r="R41" s="5">
        <v>35004</v>
      </c>
      <c r="S41" s="4">
        <v>25.344000000000001</v>
      </c>
      <c r="T41" s="4">
        <v>-2.8090000000000002</v>
      </c>
    </row>
    <row r="42" spans="1:20" ht="15" thickBot="1" x14ac:dyDescent="0.35">
      <c r="A42" s="2" t="s">
        <v>33</v>
      </c>
      <c r="B42" s="2" t="s">
        <v>34</v>
      </c>
      <c r="C42" s="2" t="s">
        <v>35</v>
      </c>
      <c r="D42" s="2" t="s">
        <v>36</v>
      </c>
      <c r="E42" s="2" t="s">
        <v>37</v>
      </c>
      <c r="F42" s="2" t="s">
        <v>38</v>
      </c>
      <c r="G42" s="2" t="s">
        <v>86</v>
      </c>
      <c r="H42" s="3">
        <v>44296</v>
      </c>
      <c r="I42" s="2" t="s">
        <v>91</v>
      </c>
      <c r="J42" s="2" t="s">
        <v>92</v>
      </c>
      <c r="K42" s="4">
        <v>2021</v>
      </c>
      <c r="L42" s="4">
        <v>2.7130000000000001</v>
      </c>
      <c r="M42" s="4" t="s">
        <v>41</v>
      </c>
      <c r="N42" s="4" t="s">
        <v>42</v>
      </c>
      <c r="O42" s="4">
        <v>62.399000000000001</v>
      </c>
      <c r="P42" s="4">
        <v>2.496</v>
      </c>
      <c r="Q42" s="12">
        <v>59.902999999999999</v>
      </c>
      <c r="R42" s="4" t="s">
        <v>193</v>
      </c>
      <c r="S42" s="4">
        <v>32.555999999999997</v>
      </c>
      <c r="T42" s="4">
        <v>27.347000000000001</v>
      </c>
    </row>
    <row r="43" spans="1:20" ht="15" thickBot="1" x14ac:dyDescent="0.35">
      <c r="A43" s="2" t="s">
        <v>49</v>
      </c>
      <c r="B43" s="2" t="s">
        <v>21</v>
      </c>
      <c r="C43" s="2" t="s">
        <v>69</v>
      </c>
      <c r="D43" s="2" t="s">
        <v>194</v>
      </c>
      <c r="E43" s="2" t="s">
        <v>71</v>
      </c>
      <c r="F43" s="2" t="s">
        <v>195</v>
      </c>
      <c r="G43" s="2" t="s">
        <v>86</v>
      </c>
      <c r="H43" s="3">
        <v>44389</v>
      </c>
      <c r="I43" s="2" t="s">
        <v>62</v>
      </c>
      <c r="J43" s="2" t="s">
        <v>28</v>
      </c>
      <c r="K43" s="4">
        <v>2021</v>
      </c>
      <c r="L43" s="4">
        <v>883</v>
      </c>
      <c r="M43" s="4" t="s">
        <v>73</v>
      </c>
      <c r="N43" s="4" t="s">
        <v>165</v>
      </c>
      <c r="O43" s="4">
        <v>26.49</v>
      </c>
      <c r="P43" s="4">
        <v>1.06</v>
      </c>
      <c r="Q43" s="12">
        <v>25.43</v>
      </c>
      <c r="R43" s="4" t="s">
        <v>196</v>
      </c>
      <c r="S43" s="4">
        <v>130.684</v>
      </c>
      <c r="T43" s="4">
        <v>-105.254</v>
      </c>
    </row>
    <row r="44" spans="1:20" ht="15" thickBot="1" x14ac:dyDescent="0.35">
      <c r="A44" s="2" t="s">
        <v>49</v>
      </c>
      <c r="B44" s="2" t="s">
        <v>34</v>
      </c>
      <c r="C44" s="2" t="s">
        <v>82</v>
      </c>
      <c r="D44" s="2" t="s">
        <v>197</v>
      </c>
      <c r="E44" s="2" t="s">
        <v>84</v>
      </c>
      <c r="F44" s="2" t="s">
        <v>198</v>
      </c>
      <c r="G44" s="2" t="s">
        <v>86</v>
      </c>
      <c r="H44" s="3">
        <v>44550</v>
      </c>
      <c r="I44" s="2" t="s">
        <v>100</v>
      </c>
      <c r="J44" s="2" t="s">
        <v>96</v>
      </c>
      <c r="K44" s="4">
        <v>2021</v>
      </c>
      <c r="L44" s="4">
        <v>3.4209999999999998</v>
      </c>
      <c r="M44" s="4" t="s">
        <v>87</v>
      </c>
      <c r="N44" s="4" t="s">
        <v>116</v>
      </c>
      <c r="O44" s="4">
        <v>37.631</v>
      </c>
      <c r="P44" s="4">
        <v>1.5049999999999999</v>
      </c>
      <c r="Q44" s="12">
        <v>36.125999999999998</v>
      </c>
      <c r="R44" s="4" t="s">
        <v>199</v>
      </c>
      <c r="S44" s="4">
        <v>13.683999999999999</v>
      </c>
      <c r="T44" s="4">
        <v>22.442</v>
      </c>
    </row>
    <row r="45" spans="1:20" ht="15" thickBot="1" x14ac:dyDescent="0.35">
      <c r="A45" s="2" t="s">
        <v>49</v>
      </c>
      <c r="B45" s="2" t="s">
        <v>44</v>
      </c>
      <c r="C45" s="2" t="s">
        <v>22</v>
      </c>
      <c r="D45" s="2" t="s">
        <v>200</v>
      </c>
      <c r="E45" s="2" t="s">
        <v>24</v>
      </c>
      <c r="F45" s="2" t="s">
        <v>201</v>
      </c>
      <c r="G45" s="2" t="s">
        <v>86</v>
      </c>
      <c r="H45" s="3">
        <v>44026</v>
      </c>
      <c r="I45" s="2" t="s">
        <v>62</v>
      </c>
      <c r="J45" s="2" t="s">
        <v>28</v>
      </c>
      <c r="K45" s="4">
        <v>2020</v>
      </c>
      <c r="L45" s="4">
        <v>3.4209999999999998</v>
      </c>
      <c r="M45" s="4" t="s">
        <v>29</v>
      </c>
      <c r="N45" s="4" t="s">
        <v>116</v>
      </c>
      <c r="O45" s="4">
        <v>37.631</v>
      </c>
      <c r="P45" s="4">
        <v>1.5049999999999999</v>
      </c>
      <c r="Q45" s="12">
        <v>36.125999999999998</v>
      </c>
      <c r="R45" s="4" t="s">
        <v>199</v>
      </c>
      <c r="S45" s="4">
        <v>20.526</v>
      </c>
      <c r="T45" s="4">
        <v>15.6</v>
      </c>
    </row>
    <row r="46" spans="1:20" ht="15" thickBot="1" x14ac:dyDescent="0.35">
      <c r="A46" s="2" t="s">
        <v>33</v>
      </c>
      <c r="B46" s="2" t="s">
        <v>34</v>
      </c>
      <c r="C46" s="2" t="s">
        <v>35</v>
      </c>
      <c r="D46" s="2" t="s">
        <v>147</v>
      </c>
      <c r="E46" s="2" t="s">
        <v>37</v>
      </c>
      <c r="F46" s="2" t="s">
        <v>148</v>
      </c>
      <c r="G46" s="2" t="s">
        <v>86</v>
      </c>
      <c r="H46" s="3">
        <v>43845</v>
      </c>
      <c r="I46" s="2" t="s">
        <v>39</v>
      </c>
      <c r="J46" s="2" t="s">
        <v>40</v>
      </c>
      <c r="K46" s="4">
        <v>2020</v>
      </c>
      <c r="L46" s="4">
        <v>805</v>
      </c>
      <c r="M46" s="4" t="s">
        <v>41</v>
      </c>
      <c r="N46" s="4" t="s">
        <v>42</v>
      </c>
      <c r="O46" s="4">
        <v>18.515000000000001</v>
      </c>
      <c r="P46" s="4">
        <v>741</v>
      </c>
      <c r="Q46" s="12">
        <v>17.774000000000001</v>
      </c>
      <c r="R46" s="5">
        <v>24351</v>
      </c>
      <c r="S46" s="4">
        <v>9.66</v>
      </c>
      <c r="T46" s="4">
        <v>8.1140000000000008</v>
      </c>
    </row>
    <row r="47" spans="1:20" ht="15" thickBot="1" x14ac:dyDescent="0.35">
      <c r="A47" s="2" t="s">
        <v>33</v>
      </c>
      <c r="B47" s="2" t="s">
        <v>50</v>
      </c>
      <c r="C47" s="2" t="s">
        <v>35</v>
      </c>
      <c r="D47" s="2" t="s">
        <v>202</v>
      </c>
      <c r="E47" s="2" t="s">
        <v>37</v>
      </c>
      <c r="F47" s="2" t="s">
        <v>203</v>
      </c>
      <c r="G47" s="2" t="s">
        <v>86</v>
      </c>
      <c r="H47" s="3">
        <v>44277</v>
      </c>
      <c r="I47" s="2" t="s">
        <v>112</v>
      </c>
      <c r="J47" s="2" t="s">
        <v>40</v>
      </c>
      <c r="K47" s="4">
        <v>2021</v>
      </c>
      <c r="L47" s="4">
        <v>1.8169999999999999</v>
      </c>
      <c r="M47" s="4" t="s">
        <v>41</v>
      </c>
      <c r="N47" s="4" t="s">
        <v>42</v>
      </c>
      <c r="O47" s="4">
        <v>41.790999999999997</v>
      </c>
      <c r="P47" s="4">
        <v>1.6719999999999999</v>
      </c>
      <c r="Q47" s="12">
        <v>40.119</v>
      </c>
      <c r="R47" s="4" t="s">
        <v>204</v>
      </c>
      <c r="S47" s="4">
        <v>21.803999999999998</v>
      </c>
      <c r="T47" s="4">
        <v>18.315000000000001</v>
      </c>
    </row>
    <row r="48" spans="1:20" ht="15" thickBot="1" x14ac:dyDescent="0.35">
      <c r="A48" s="2" t="s">
        <v>49</v>
      </c>
      <c r="B48" s="2" t="s">
        <v>74</v>
      </c>
      <c r="C48" s="2" t="s">
        <v>69</v>
      </c>
      <c r="D48" s="2" t="s">
        <v>113</v>
      </c>
      <c r="E48" s="2" t="s">
        <v>71</v>
      </c>
      <c r="F48" s="2" t="s">
        <v>114</v>
      </c>
      <c r="G48" s="2" t="s">
        <v>86</v>
      </c>
      <c r="H48" s="3">
        <v>44352</v>
      </c>
      <c r="I48" s="2" t="s">
        <v>205</v>
      </c>
      <c r="J48" s="2" t="s">
        <v>92</v>
      </c>
      <c r="K48" s="4">
        <v>2021</v>
      </c>
      <c r="L48" s="4">
        <v>3.1749999999999998</v>
      </c>
      <c r="M48" s="4" t="s">
        <v>73</v>
      </c>
      <c r="N48" s="4" t="s">
        <v>165</v>
      </c>
      <c r="O48" s="4">
        <v>95.25</v>
      </c>
      <c r="P48" s="4">
        <v>3.81</v>
      </c>
      <c r="Q48" s="12">
        <v>91.44</v>
      </c>
      <c r="R48" s="4" t="s">
        <v>206</v>
      </c>
      <c r="S48" s="4">
        <v>469.9</v>
      </c>
      <c r="T48" s="4">
        <v>-378.46</v>
      </c>
    </row>
    <row r="49" spans="1:20" ht="15" thickBot="1" x14ac:dyDescent="0.35">
      <c r="A49" s="2" t="s">
        <v>49</v>
      </c>
      <c r="B49" s="2" t="s">
        <v>21</v>
      </c>
      <c r="C49" s="2" t="s">
        <v>75</v>
      </c>
      <c r="D49" s="2" t="s">
        <v>168</v>
      </c>
      <c r="E49" s="2" t="s">
        <v>77</v>
      </c>
      <c r="F49" s="2" t="s">
        <v>169</v>
      </c>
      <c r="G49" s="2" t="s">
        <v>86</v>
      </c>
      <c r="H49" s="3">
        <v>43877</v>
      </c>
      <c r="I49" s="2" t="s">
        <v>79</v>
      </c>
      <c r="J49" s="2" t="s">
        <v>40</v>
      </c>
      <c r="K49" s="4">
        <v>2020</v>
      </c>
      <c r="L49" s="4">
        <v>419</v>
      </c>
      <c r="M49" s="4" t="s">
        <v>80</v>
      </c>
      <c r="N49" s="4" t="s">
        <v>54</v>
      </c>
      <c r="O49" s="4">
        <v>219.97499999999999</v>
      </c>
      <c r="P49" s="4">
        <v>8.7989999999999995</v>
      </c>
      <c r="Q49" s="12">
        <v>211.17599999999999</v>
      </c>
      <c r="R49" s="4" t="s">
        <v>207</v>
      </c>
      <c r="S49" s="4">
        <v>129.05199999999999</v>
      </c>
      <c r="T49" s="4">
        <v>82.123999999999995</v>
      </c>
    </row>
    <row r="50" spans="1:20" ht="15" thickBot="1" x14ac:dyDescent="0.35">
      <c r="A50" s="2" t="s">
        <v>33</v>
      </c>
      <c r="B50" s="2" t="s">
        <v>59</v>
      </c>
      <c r="C50" s="2" t="s">
        <v>75</v>
      </c>
      <c r="D50" s="2" t="s">
        <v>208</v>
      </c>
      <c r="E50" s="2" t="s">
        <v>77</v>
      </c>
      <c r="F50" s="2" t="s">
        <v>209</v>
      </c>
      <c r="G50" s="2" t="s">
        <v>86</v>
      </c>
      <c r="H50" s="3">
        <v>44089</v>
      </c>
      <c r="I50" s="2" t="s">
        <v>27</v>
      </c>
      <c r="J50" s="2" t="s">
        <v>28</v>
      </c>
      <c r="K50" s="4">
        <v>2020</v>
      </c>
      <c r="L50" s="4">
        <v>1.8169999999999999</v>
      </c>
      <c r="M50" s="4" t="s">
        <v>80</v>
      </c>
      <c r="N50" s="4" t="s">
        <v>42</v>
      </c>
      <c r="O50" s="4">
        <v>41.790999999999997</v>
      </c>
      <c r="P50" s="4">
        <v>1.6719999999999999</v>
      </c>
      <c r="Q50" s="12">
        <v>40.119</v>
      </c>
      <c r="R50" s="4" t="s">
        <v>204</v>
      </c>
      <c r="S50" s="4">
        <v>559.63599999999997</v>
      </c>
      <c r="T50" s="4">
        <v>-519.51700000000005</v>
      </c>
    </row>
    <row r="51" spans="1:20" ht="15" thickBot="1" x14ac:dyDescent="0.35">
      <c r="A51" s="2" t="s">
        <v>33</v>
      </c>
      <c r="B51" s="2" t="s">
        <v>64</v>
      </c>
      <c r="C51" s="2" t="s">
        <v>120</v>
      </c>
      <c r="D51" s="2" t="s">
        <v>210</v>
      </c>
      <c r="E51" s="2" t="s">
        <v>122</v>
      </c>
      <c r="F51" s="2" t="s">
        <v>211</v>
      </c>
      <c r="G51" s="2" t="s">
        <v>86</v>
      </c>
      <c r="H51" s="3">
        <v>44488</v>
      </c>
      <c r="I51" s="2" t="s">
        <v>115</v>
      </c>
      <c r="J51" s="2" t="s">
        <v>96</v>
      </c>
      <c r="K51" s="4">
        <v>2021</v>
      </c>
      <c r="L51" s="4">
        <v>805</v>
      </c>
      <c r="M51" s="4" t="s">
        <v>124</v>
      </c>
      <c r="N51" s="4" t="s">
        <v>42</v>
      </c>
      <c r="O51" s="4">
        <v>18.515000000000001</v>
      </c>
      <c r="P51" s="4">
        <v>741</v>
      </c>
      <c r="Q51" s="12">
        <v>17.774000000000001</v>
      </c>
      <c r="R51" s="5">
        <v>24351</v>
      </c>
      <c r="S51" s="4">
        <v>257.60000000000002</v>
      </c>
      <c r="T51" s="4">
        <v>-239.82599999999999</v>
      </c>
    </row>
    <row r="52" spans="1:20" ht="15" thickBot="1" x14ac:dyDescent="0.35">
      <c r="A52" s="2" t="s">
        <v>49</v>
      </c>
      <c r="B52" s="2" t="s">
        <v>68</v>
      </c>
      <c r="C52" s="2" t="s">
        <v>120</v>
      </c>
      <c r="D52" s="2" t="s">
        <v>212</v>
      </c>
      <c r="E52" s="2" t="s">
        <v>122</v>
      </c>
      <c r="F52" s="2" t="s">
        <v>213</v>
      </c>
      <c r="G52" s="2" t="s">
        <v>86</v>
      </c>
      <c r="H52" s="3">
        <v>44196</v>
      </c>
      <c r="I52" s="2" t="s">
        <v>100</v>
      </c>
      <c r="J52" s="2" t="s">
        <v>96</v>
      </c>
      <c r="K52" s="4">
        <v>2020</v>
      </c>
      <c r="L52" s="4">
        <v>2.1339999999999999</v>
      </c>
      <c r="M52" s="4" t="s">
        <v>124</v>
      </c>
      <c r="N52" s="4" t="s">
        <v>54</v>
      </c>
      <c r="O52" s="4" t="s">
        <v>214</v>
      </c>
      <c r="P52" s="4">
        <v>44.814</v>
      </c>
      <c r="Q52" s="12" t="s">
        <v>215</v>
      </c>
      <c r="R52" s="4" t="s">
        <v>216</v>
      </c>
      <c r="S52" s="4">
        <v>682.88</v>
      </c>
      <c r="T52" s="4">
        <v>392.65600000000001</v>
      </c>
    </row>
    <row r="53" spans="1:20" ht="15" thickBot="1" x14ac:dyDescent="0.35">
      <c r="A53" s="2" t="s">
        <v>49</v>
      </c>
      <c r="B53" s="2" t="s">
        <v>59</v>
      </c>
      <c r="C53" s="2" t="s">
        <v>22</v>
      </c>
      <c r="D53" s="2" t="s">
        <v>181</v>
      </c>
      <c r="E53" s="2" t="s">
        <v>24</v>
      </c>
      <c r="F53" s="2" t="s">
        <v>182</v>
      </c>
      <c r="G53" s="2" t="s">
        <v>217</v>
      </c>
      <c r="H53" s="3">
        <v>44425</v>
      </c>
      <c r="I53" s="2" t="s">
        <v>53</v>
      </c>
      <c r="J53" s="2" t="s">
        <v>28</v>
      </c>
      <c r="K53" s="4">
        <v>2021</v>
      </c>
      <c r="L53" s="4">
        <v>1.391</v>
      </c>
      <c r="M53" s="4" t="s">
        <v>29</v>
      </c>
      <c r="N53" s="4" t="s">
        <v>116</v>
      </c>
      <c r="O53" s="4">
        <v>15.301</v>
      </c>
      <c r="P53" s="4">
        <v>765</v>
      </c>
      <c r="Q53" s="12">
        <v>14.536</v>
      </c>
      <c r="R53" s="5">
        <v>26115</v>
      </c>
      <c r="S53" s="4">
        <v>8.3460000000000001</v>
      </c>
      <c r="T53" s="4">
        <v>6.19</v>
      </c>
    </row>
    <row r="54" spans="1:20" ht="15" thickBot="1" x14ac:dyDescent="0.35">
      <c r="A54" s="2" t="s">
        <v>49</v>
      </c>
      <c r="B54" s="2" t="s">
        <v>50</v>
      </c>
      <c r="C54" s="2" t="s">
        <v>35</v>
      </c>
      <c r="D54" s="2" t="s">
        <v>51</v>
      </c>
      <c r="E54" s="2" t="s">
        <v>37</v>
      </c>
      <c r="F54" s="2" t="s">
        <v>52</v>
      </c>
      <c r="G54" s="2" t="s">
        <v>217</v>
      </c>
      <c r="H54" s="3">
        <v>44467</v>
      </c>
      <c r="I54" s="2" t="s">
        <v>27</v>
      </c>
      <c r="J54" s="2" t="s">
        <v>28</v>
      </c>
      <c r="K54" s="4">
        <v>2021</v>
      </c>
      <c r="L54" s="4">
        <v>2.819</v>
      </c>
      <c r="M54" s="4" t="s">
        <v>41</v>
      </c>
      <c r="N54" s="4" t="s">
        <v>116</v>
      </c>
      <c r="O54" s="4">
        <v>31.009</v>
      </c>
      <c r="P54" s="4">
        <v>1.55</v>
      </c>
      <c r="Q54" s="12">
        <v>29.459</v>
      </c>
      <c r="R54" s="4" t="s">
        <v>218</v>
      </c>
      <c r="S54" s="4">
        <v>33.828000000000003</v>
      </c>
      <c r="T54" s="4">
        <v>-4.3689999999999998</v>
      </c>
    </row>
    <row r="55" spans="1:20" ht="15" thickBot="1" x14ac:dyDescent="0.35">
      <c r="A55" s="2" t="s">
        <v>49</v>
      </c>
      <c r="B55" s="2" t="s">
        <v>44</v>
      </c>
      <c r="C55" s="2" t="s">
        <v>120</v>
      </c>
      <c r="D55" s="2" t="s">
        <v>176</v>
      </c>
      <c r="E55" s="2" t="s">
        <v>122</v>
      </c>
      <c r="F55" s="2" t="s">
        <v>177</v>
      </c>
      <c r="G55" s="2" t="s">
        <v>217</v>
      </c>
      <c r="H55" s="3">
        <v>43918</v>
      </c>
      <c r="I55" s="2" t="s">
        <v>112</v>
      </c>
      <c r="J55" s="2" t="s">
        <v>40</v>
      </c>
      <c r="K55" s="4">
        <v>2020</v>
      </c>
      <c r="L55" s="4">
        <v>1.391</v>
      </c>
      <c r="M55" s="4" t="s">
        <v>124</v>
      </c>
      <c r="N55" s="4" t="s">
        <v>116</v>
      </c>
      <c r="O55" s="4">
        <v>15.301</v>
      </c>
      <c r="P55" s="4">
        <v>765</v>
      </c>
      <c r="Q55" s="12">
        <v>14.536</v>
      </c>
      <c r="R55" s="5">
        <v>26115</v>
      </c>
      <c r="S55" s="4">
        <v>445.12</v>
      </c>
      <c r="T55" s="4">
        <v>-430.584</v>
      </c>
    </row>
    <row r="56" spans="1:20" ht="15" thickBot="1" x14ac:dyDescent="0.35">
      <c r="A56" s="2" t="s">
        <v>49</v>
      </c>
      <c r="B56" s="2" t="s">
        <v>74</v>
      </c>
      <c r="C56" s="2" t="s">
        <v>82</v>
      </c>
      <c r="D56" s="2" t="s">
        <v>219</v>
      </c>
      <c r="E56" s="2" t="s">
        <v>84</v>
      </c>
      <c r="F56" s="2" t="s">
        <v>220</v>
      </c>
      <c r="G56" s="2" t="s">
        <v>217</v>
      </c>
      <c r="H56" s="3">
        <v>44340</v>
      </c>
      <c r="I56" s="2" t="s">
        <v>142</v>
      </c>
      <c r="J56" s="2" t="s">
        <v>92</v>
      </c>
      <c r="K56" s="4">
        <v>2021</v>
      </c>
      <c r="L56" s="4">
        <v>1.2190000000000001</v>
      </c>
      <c r="M56" s="4" t="s">
        <v>87</v>
      </c>
      <c r="N56" s="4" t="s">
        <v>116</v>
      </c>
      <c r="O56" s="4">
        <v>13.409000000000001</v>
      </c>
      <c r="P56" s="4">
        <v>670</v>
      </c>
      <c r="Q56" s="12">
        <v>12.739000000000001</v>
      </c>
      <c r="R56" s="5">
        <v>27912</v>
      </c>
      <c r="S56" s="4">
        <v>4.8760000000000003</v>
      </c>
      <c r="T56" s="4">
        <v>7.8630000000000004</v>
      </c>
    </row>
    <row r="57" spans="1:20" ht="15" thickBot="1" x14ac:dyDescent="0.35">
      <c r="A57" s="2" t="s">
        <v>49</v>
      </c>
      <c r="B57" s="2" t="s">
        <v>21</v>
      </c>
      <c r="C57" s="2" t="s">
        <v>22</v>
      </c>
      <c r="D57" s="2" t="s">
        <v>221</v>
      </c>
      <c r="E57" s="2" t="s">
        <v>24</v>
      </c>
      <c r="F57" s="2" t="s">
        <v>222</v>
      </c>
      <c r="G57" s="2" t="s">
        <v>217</v>
      </c>
      <c r="H57" s="3">
        <v>43929</v>
      </c>
      <c r="I57" s="2" t="s">
        <v>91</v>
      </c>
      <c r="J57" s="2" t="s">
        <v>92</v>
      </c>
      <c r="K57" s="4">
        <v>2020</v>
      </c>
      <c r="L57" s="4">
        <v>864</v>
      </c>
      <c r="M57" s="4" t="s">
        <v>29</v>
      </c>
      <c r="N57" s="4" t="s">
        <v>54</v>
      </c>
      <c r="O57" s="4">
        <v>453.6</v>
      </c>
      <c r="P57" s="4">
        <v>22.68</v>
      </c>
      <c r="Q57" s="12">
        <v>430.92</v>
      </c>
      <c r="R57" s="4" t="s">
        <v>223</v>
      </c>
      <c r="S57" s="4">
        <v>5.1840000000000002</v>
      </c>
      <c r="T57" s="4">
        <v>425.73599999999999</v>
      </c>
    </row>
    <row r="58" spans="1:20" ht="29.4" thickBot="1" x14ac:dyDescent="0.35">
      <c r="A58" s="2" t="s">
        <v>43</v>
      </c>
      <c r="B58" s="2" t="s">
        <v>34</v>
      </c>
      <c r="C58" s="2" t="s">
        <v>22</v>
      </c>
      <c r="D58" s="2" t="s">
        <v>224</v>
      </c>
      <c r="E58" s="2" t="s">
        <v>24</v>
      </c>
      <c r="F58" s="2" t="s">
        <v>225</v>
      </c>
      <c r="G58" s="2" t="s">
        <v>217</v>
      </c>
      <c r="H58" s="3">
        <v>43850</v>
      </c>
      <c r="I58" s="2" t="s">
        <v>39</v>
      </c>
      <c r="J58" s="2" t="s">
        <v>40</v>
      </c>
      <c r="K58" s="4">
        <v>2020</v>
      </c>
      <c r="L58" s="4">
        <v>1.32</v>
      </c>
      <c r="M58" s="4" t="s">
        <v>29</v>
      </c>
      <c r="N58" s="4" t="s">
        <v>47</v>
      </c>
      <c r="O58" s="4">
        <v>594</v>
      </c>
      <c r="P58" s="4">
        <v>29.7</v>
      </c>
      <c r="Q58" s="12">
        <v>564.29999999999995</v>
      </c>
      <c r="R58" s="4" t="s">
        <v>226</v>
      </c>
      <c r="S58" s="4">
        <v>7.92</v>
      </c>
      <c r="T58" s="4">
        <v>556.38</v>
      </c>
    </row>
    <row r="59" spans="1:20" ht="15" thickBot="1" x14ac:dyDescent="0.35">
      <c r="A59" s="2" t="s">
        <v>49</v>
      </c>
      <c r="B59" s="2" t="s">
        <v>50</v>
      </c>
      <c r="C59" s="2" t="s">
        <v>35</v>
      </c>
      <c r="D59" s="2" t="s">
        <v>51</v>
      </c>
      <c r="E59" s="2" t="s">
        <v>37</v>
      </c>
      <c r="F59" s="2" t="s">
        <v>52</v>
      </c>
      <c r="G59" s="2" t="s">
        <v>217</v>
      </c>
      <c r="H59" s="3">
        <v>43839</v>
      </c>
      <c r="I59" s="2" t="s">
        <v>39</v>
      </c>
      <c r="J59" s="2" t="s">
        <v>40</v>
      </c>
      <c r="K59" s="4">
        <v>2020</v>
      </c>
      <c r="L59" s="4">
        <v>1.474</v>
      </c>
      <c r="M59" s="4" t="s">
        <v>41</v>
      </c>
      <c r="N59" s="4" t="s">
        <v>54</v>
      </c>
      <c r="O59" s="4">
        <v>773.85</v>
      </c>
      <c r="P59" s="4">
        <v>38.692999999999998</v>
      </c>
      <c r="Q59" s="12">
        <v>735.15800000000002</v>
      </c>
      <c r="R59" s="4" t="s">
        <v>227</v>
      </c>
      <c r="S59" s="4">
        <v>17.687999999999999</v>
      </c>
      <c r="T59" s="4">
        <v>717.47</v>
      </c>
    </row>
    <row r="60" spans="1:20" ht="15" thickBot="1" x14ac:dyDescent="0.35">
      <c r="A60" s="2" t="s">
        <v>49</v>
      </c>
      <c r="B60" s="2" t="s">
        <v>50</v>
      </c>
      <c r="C60" s="2" t="s">
        <v>35</v>
      </c>
      <c r="D60" s="2" t="s">
        <v>51</v>
      </c>
      <c r="E60" s="2" t="s">
        <v>37</v>
      </c>
      <c r="F60" s="2" t="s">
        <v>52</v>
      </c>
      <c r="G60" s="2" t="s">
        <v>217</v>
      </c>
      <c r="H60" s="3">
        <v>44181</v>
      </c>
      <c r="I60" s="2" t="s">
        <v>100</v>
      </c>
      <c r="J60" s="2" t="s">
        <v>96</v>
      </c>
      <c r="K60" s="4">
        <v>2020</v>
      </c>
      <c r="L60" s="4">
        <v>1.667</v>
      </c>
      <c r="M60" s="4" t="s">
        <v>41</v>
      </c>
      <c r="N60" s="4" t="s">
        <v>165</v>
      </c>
      <c r="O60" s="4">
        <v>50.01</v>
      </c>
      <c r="P60" s="4">
        <v>2.5009999999999999</v>
      </c>
      <c r="Q60" s="12">
        <v>47.51</v>
      </c>
      <c r="R60" s="4" t="s">
        <v>228</v>
      </c>
      <c r="S60" s="4">
        <v>20.004000000000001</v>
      </c>
      <c r="T60" s="4">
        <v>27.506</v>
      </c>
    </row>
    <row r="61" spans="1:20" ht="15" thickBot="1" x14ac:dyDescent="0.35">
      <c r="A61" s="2" t="s">
        <v>20</v>
      </c>
      <c r="B61" s="2" t="s">
        <v>44</v>
      </c>
      <c r="C61" s="2" t="s">
        <v>35</v>
      </c>
      <c r="D61" s="2" t="s">
        <v>229</v>
      </c>
      <c r="E61" s="2" t="s">
        <v>37</v>
      </c>
      <c r="F61" s="2" t="s">
        <v>230</v>
      </c>
      <c r="G61" s="2" t="s">
        <v>217</v>
      </c>
      <c r="H61" s="3">
        <v>44037</v>
      </c>
      <c r="I61" s="2" t="s">
        <v>62</v>
      </c>
      <c r="J61" s="2" t="s">
        <v>28</v>
      </c>
      <c r="K61" s="4">
        <v>2020</v>
      </c>
      <c r="L61" s="4">
        <v>845</v>
      </c>
      <c r="M61" s="4" t="s">
        <v>41</v>
      </c>
      <c r="N61" s="4" t="s">
        <v>30</v>
      </c>
      <c r="O61" s="4">
        <v>158.86000000000001</v>
      </c>
      <c r="P61" s="4">
        <v>7.9429999999999996</v>
      </c>
      <c r="Q61" s="12">
        <v>150.917</v>
      </c>
      <c r="R61" s="4" t="s">
        <v>231</v>
      </c>
      <c r="S61" s="4">
        <v>10.14</v>
      </c>
      <c r="T61" s="4">
        <v>140.77699999999999</v>
      </c>
    </row>
    <row r="62" spans="1:20" ht="15" thickBot="1" x14ac:dyDescent="0.35">
      <c r="A62" s="2" t="s">
        <v>49</v>
      </c>
      <c r="B62" s="2" t="s">
        <v>50</v>
      </c>
      <c r="C62" s="2" t="s">
        <v>35</v>
      </c>
      <c r="D62" s="2" t="s">
        <v>51</v>
      </c>
      <c r="E62" s="2" t="s">
        <v>37</v>
      </c>
      <c r="F62" s="2" t="s">
        <v>52</v>
      </c>
      <c r="G62" s="2" t="s">
        <v>217</v>
      </c>
      <c r="H62" s="3">
        <v>44104</v>
      </c>
      <c r="I62" s="2" t="s">
        <v>27</v>
      </c>
      <c r="J62" s="2" t="s">
        <v>28</v>
      </c>
      <c r="K62" s="4">
        <v>2020</v>
      </c>
      <c r="L62" s="4">
        <v>2.1619999999999999</v>
      </c>
      <c r="M62" s="4" t="s">
        <v>41</v>
      </c>
      <c r="N62" s="4" t="s">
        <v>165</v>
      </c>
      <c r="O62" s="4">
        <v>64.86</v>
      </c>
      <c r="P62" s="4">
        <v>3.2429999999999999</v>
      </c>
      <c r="Q62" s="12">
        <v>61.616999999999997</v>
      </c>
      <c r="R62" s="4" t="s">
        <v>232</v>
      </c>
      <c r="S62" s="4">
        <v>25.943999999999999</v>
      </c>
      <c r="T62" s="4">
        <v>35.673000000000002</v>
      </c>
    </row>
    <row r="63" spans="1:20" ht="15" thickBot="1" x14ac:dyDescent="0.35">
      <c r="A63" s="2" t="s">
        <v>49</v>
      </c>
      <c r="B63" s="2" t="s">
        <v>50</v>
      </c>
      <c r="C63" s="2" t="s">
        <v>35</v>
      </c>
      <c r="D63" s="2" t="s">
        <v>233</v>
      </c>
      <c r="E63" s="2" t="s">
        <v>37</v>
      </c>
      <c r="F63" s="2" t="s">
        <v>234</v>
      </c>
      <c r="G63" s="2" t="s">
        <v>217</v>
      </c>
      <c r="H63" s="3">
        <v>44034</v>
      </c>
      <c r="I63" s="2" t="s">
        <v>62</v>
      </c>
      <c r="J63" s="2" t="s">
        <v>28</v>
      </c>
      <c r="K63" s="4">
        <v>2020</v>
      </c>
      <c r="L63" s="4">
        <v>2.5630000000000002</v>
      </c>
      <c r="M63" s="4" t="s">
        <v>41</v>
      </c>
      <c r="N63" s="4" t="s">
        <v>116</v>
      </c>
      <c r="O63" s="4">
        <v>28.193000000000001</v>
      </c>
      <c r="P63" s="4">
        <v>1.41</v>
      </c>
      <c r="Q63" s="12">
        <v>26.783000000000001</v>
      </c>
      <c r="R63" s="4" t="s">
        <v>235</v>
      </c>
      <c r="S63" s="4">
        <v>30.756</v>
      </c>
      <c r="T63" s="4">
        <v>-3.9729999999999999</v>
      </c>
    </row>
    <row r="64" spans="1:20" ht="15" thickBot="1" x14ac:dyDescent="0.35">
      <c r="A64" s="2" t="s">
        <v>33</v>
      </c>
      <c r="B64" s="2" t="s">
        <v>64</v>
      </c>
      <c r="C64" s="2" t="s">
        <v>35</v>
      </c>
      <c r="D64" s="2" t="s">
        <v>187</v>
      </c>
      <c r="E64" s="2" t="s">
        <v>37</v>
      </c>
      <c r="F64" s="2" t="s">
        <v>188</v>
      </c>
      <c r="G64" s="2" t="s">
        <v>217</v>
      </c>
      <c r="H64" s="3">
        <v>44271</v>
      </c>
      <c r="I64" s="2" t="s">
        <v>112</v>
      </c>
      <c r="J64" s="2" t="s">
        <v>40</v>
      </c>
      <c r="K64" s="4">
        <v>2021</v>
      </c>
      <c r="L64" s="4">
        <v>2.5390000000000001</v>
      </c>
      <c r="M64" s="4" t="s">
        <v>41</v>
      </c>
      <c r="N64" s="4" t="s">
        <v>42</v>
      </c>
      <c r="O64" s="4">
        <v>58.396999999999998</v>
      </c>
      <c r="P64" s="4">
        <v>2.92</v>
      </c>
      <c r="Q64" s="12">
        <v>55.476999999999997</v>
      </c>
      <c r="R64" s="4" t="s">
        <v>236</v>
      </c>
      <c r="S64" s="4">
        <v>30.468</v>
      </c>
      <c r="T64" s="4">
        <v>25.009</v>
      </c>
    </row>
    <row r="65" spans="1:20" ht="15" thickBot="1" x14ac:dyDescent="0.35">
      <c r="A65" s="2" t="s">
        <v>20</v>
      </c>
      <c r="B65" s="2" t="s">
        <v>59</v>
      </c>
      <c r="C65" s="2" t="s">
        <v>69</v>
      </c>
      <c r="D65" s="2" t="s">
        <v>237</v>
      </c>
      <c r="E65" s="2" t="s">
        <v>71</v>
      </c>
      <c r="F65" s="2" t="s">
        <v>238</v>
      </c>
      <c r="G65" s="2" t="s">
        <v>217</v>
      </c>
      <c r="H65" s="3">
        <v>43946</v>
      </c>
      <c r="I65" s="2" t="s">
        <v>91</v>
      </c>
      <c r="J65" s="2" t="s">
        <v>92</v>
      </c>
      <c r="K65" s="4">
        <v>2020</v>
      </c>
      <c r="L65" s="4">
        <v>845</v>
      </c>
      <c r="M65" s="4" t="s">
        <v>73</v>
      </c>
      <c r="N65" s="4" t="s">
        <v>30</v>
      </c>
      <c r="O65" s="4">
        <v>158.86000000000001</v>
      </c>
      <c r="P65" s="4">
        <v>7.9429999999999996</v>
      </c>
      <c r="Q65" s="12">
        <v>150.917</v>
      </c>
      <c r="R65" s="4" t="s">
        <v>231</v>
      </c>
      <c r="S65" s="4">
        <v>125.06</v>
      </c>
      <c r="T65" s="4">
        <v>25.856999999999999</v>
      </c>
    </row>
    <row r="66" spans="1:20" ht="15" thickBot="1" x14ac:dyDescent="0.35">
      <c r="A66" s="2" t="s">
        <v>49</v>
      </c>
      <c r="B66" s="2" t="s">
        <v>64</v>
      </c>
      <c r="C66" s="2" t="s">
        <v>69</v>
      </c>
      <c r="D66" s="2" t="s">
        <v>239</v>
      </c>
      <c r="E66" s="2" t="s">
        <v>71</v>
      </c>
      <c r="F66" s="2" t="s">
        <v>240</v>
      </c>
      <c r="G66" s="2" t="s">
        <v>217</v>
      </c>
      <c r="H66" s="3">
        <v>44497</v>
      </c>
      <c r="I66" s="2" t="s">
        <v>115</v>
      </c>
      <c r="J66" s="2" t="s">
        <v>96</v>
      </c>
      <c r="K66" s="4">
        <v>2021</v>
      </c>
      <c r="L66" s="4">
        <v>1.24</v>
      </c>
      <c r="M66" s="4" t="s">
        <v>73</v>
      </c>
      <c r="N66" s="4" t="s">
        <v>165</v>
      </c>
      <c r="O66" s="4">
        <v>37.200000000000003</v>
      </c>
      <c r="P66" s="4">
        <v>1.86</v>
      </c>
      <c r="Q66" s="12">
        <v>35.340000000000003</v>
      </c>
      <c r="R66" s="4" t="s">
        <v>241</v>
      </c>
      <c r="S66" s="4">
        <v>183.52</v>
      </c>
      <c r="T66" s="4">
        <v>-148.18</v>
      </c>
    </row>
    <row r="67" spans="1:20" ht="15" thickBot="1" x14ac:dyDescent="0.35">
      <c r="A67" s="2" t="s">
        <v>49</v>
      </c>
      <c r="B67" s="2" t="s">
        <v>68</v>
      </c>
      <c r="C67" s="2" t="s">
        <v>75</v>
      </c>
      <c r="D67" s="2" t="s">
        <v>242</v>
      </c>
      <c r="E67" s="2" t="s">
        <v>77</v>
      </c>
      <c r="F67" s="2" t="s">
        <v>243</v>
      </c>
      <c r="G67" s="2" t="s">
        <v>217</v>
      </c>
      <c r="H67" s="3">
        <v>44081</v>
      </c>
      <c r="I67" s="2" t="s">
        <v>27</v>
      </c>
      <c r="J67" s="2" t="s">
        <v>28</v>
      </c>
      <c r="K67" s="4">
        <v>2020</v>
      </c>
      <c r="L67" s="4">
        <v>1.667</v>
      </c>
      <c r="M67" s="4" t="s">
        <v>80</v>
      </c>
      <c r="N67" s="4" t="s">
        <v>165</v>
      </c>
      <c r="O67" s="4">
        <v>50.01</v>
      </c>
      <c r="P67" s="4">
        <v>2.5009999999999999</v>
      </c>
      <c r="Q67" s="12">
        <v>47.51</v>
      </c>
      <c r="R67" s="4" t="s">
        <v>228</v>
      </c>
      <c r="S67" s="4">
        <v>513.43600000000004</v>
      </c>
      <c r="T67" s="4">
        <v>-465.92700000000002</v>
      </c>
    </row>
    <row r="68" spans="1:20" ht="15" thickBot="1" x14ac:dyDescent="0.35">
      <c r="A68" s="2" t="s">
        <v>49</v>
      </c>
      <c r="B68" s="2" t="s">
        <v>21</v>
      </c>
      <c r="C68" s="2" t="s">
        <v>75</v>
      </c>
      <c r="D68" s="2" t="s">
        <v>168</v>
      </c>
      <c r="E68" s="2" t="s">
        <v>77</v>
      </c>
      <c r="F68" s="2" t="s">
        <v>169</v>
      </c>
      <c r="G68" s="2" t="s">
        <v>217</v>
      </c>
      <c r="H68" s="3">
        <v>44015</v>
      </c>
      <c r="I68" s="2" t="s">
        <v>62</v>
      </c>
      <c r="J68" s="2" t="s">
        <v>28</v>
      </c>
      <c r="K68" s="4">
        <v>2020</v>
      </c>
      <c r="L68" s="4">
        <v>1.518</v>
      </c>
      <c r="M68" s="4" t="s">
        <v>80</v>
      </c>
      <c r="N68" s="4" t="s">
        <v>165</v>
      </c>
      <c r="O68" s="4">
        <v>45.54</v>
      </c>
      <c r="P68" s="4">
        <v>2.2770000000000001</v>
      </c>
      <c r="Q68" s="12">
        <v>43.262999999999998</v>
      </c>
      <c r="R68" s="6">
        <v>45771</v>
      </c>
      <c r="S68" s="4">
        <v>467.54399999999998</v>
      </c>
      <c r="T68" s="4">
        <v>-424.28100000000001</v>
      </c>
    </row>
    <row r="69" spans="1:20" ht="15" thickBot="1" x14ac:dyDescent="0.35">
      <c r="A69" s="2" t="s">
        <v>49</v>
      </c>
      <c r="B69" s="2" t="s">
        <v>74</v>
      </c>
      <c r="C69" s="2" t="s">
        <v>75</v>
      </c>
      <c r="D69" s="2" t="s">
        <v>244</v>
      </c>
      <c r="E69" s="2" t="s">
        <v>77</v>
      </c>
      <c r="F69" s="2" t="s">
        <v>245</v>
      </c>
      <c r="G69" s="2" t="s">
        <v>217</v>
      </c>
      <c r="H69" s="3">
        <v>44043</v>
      </c>
      <c r="I69" s="2" t="s">
        <v>62</v>
      </c>
      <c r="J69" s="2" t="s">
        <v>28</v>
      </c>
      <c r="K69" s="4">
        <v>2020</v>
      </c>
      <c r="L69" s="4">
        <v>2.7559999999999998</v>
      </c>
      <c r="M69" s="4" t="s">
        <v>80</v>
      </c>
      <c r="N69" s="4" t="s">
        <v>165</v>
      </c>
      <c r="O69" s="4">
        <v>82.68</v>
      </c>
      <c r="P69" s="4">
        <v>4.1340000000000003</v>
      </c>
      <c r="Q69" s="12">
        <v>78.546000000000006</v>
      </c>
      <c r="R69" s="4" t="s">
        <v>246</v>
      </c>
      <c r="S69" s="4">
        <v>848.84799999999996</v>
      </c>
      <c r="T69" s="4">
        <v>-770.30200000000002</v>
      </c>
    </row>
    <row r="70" spans="1:20" ht="15" thickBot="1" x14ac:dyDescent="0.35">
      <c r="A70" s="2" t="s">
        <v>49</v>
      </c>
      <c r="B70" s="2" t="s">
        <v>68</v>
      </c>
      <c r="C70" s="2" t="s">
        <v>120</v>
      </c>
      <c r="D70" s="2" t="s">
        <v>212</v>
      </c>
      <c r="E70" s="2" t="s">
        <v>122</v>
      </c>
      <c r="F70" s="2" t="s">
        <v>213</v>
      </c>
      <c r="G70" s="2" t="s">
        <v>217</v>
      </c>
      <c r="H70" s="3">
        <v>44207</v>
      </c>
      <c r="I70" s="2" t="s">
        <v>39</v>
      </c>
      <c r="J70" s="2" t="s">
        <v>40</v>
      </c>
      <c r="K70" s="4">
        <v>2021</v>
      </c>
      <c r="L70" s="4">
        <v>1.474</v>
      </c>
      <c r="M70" s="4" t="s">
        <v>124</v>
      </c>
      <c r="N70" s="4" t="s">
        <v>54</v>
      </c>
      <c r="O70" s="4">
        <v>773.85</v>
      </c>
      <c r="P70" s="4">
        <v>38.692999999999998</v>
      </c>
      <c r="Q70" s="12">
        <v>735.15800000000002</v>
      </c>
      <c r="R70" s="4" t="s">
        <v>227</v>
      </c>
      <c r="S70" s="4">
        <v>471.68</v>
      </c>
      <c r="T70" s="4">
        <v>263.47800000000001</v>
      </c>
    </row>
    <row r="71" spans="1:20" ht="29.4" thickBot="1" x14ac:dyDescent="0.35">
      <c r="A71" s="2" t="s">
        <v>58</v>
      </c>
      <c r="B71" s="2" t="s">
        <v>50</v>
      </c>
      <c r="C71" s="2" t="s">
        <v>82</v>
      </c>
      <c r="D71" s="2" t="s">
        <v>179</v>
      </c>
      <c r="E71" s="2" t="s">
        <v>84</v>
      </c>
      <c r="F71" s="2" t="s">
        <v>180</v>
      </c>
      <c r="G71" s="2" t="s">
        <v>217</v>
      </c>
      <c r="H71" s="3">
        <v>44197</v>
      </c>
      <c r="I71" s="2" t="s">
        <v>39</v>
      </c>
      <c r="J71" s="2" t="s">
        <v>40</v>
      </c>
      <c r="K71" s="4">
        <v>2021</v>
      </c>
      <c r="L71" s="4">
        <v>2.7589999999999999</v>
      </c>
      <c r="M71" s="4" t="s">
        <v>87</v>
      </c>
      <c r="N71" s="4" t="s">
        <v>63</v>
      </c>
      <c r="O71" s="4">
        <v>49.661999999999999</v>
      </c>
      <c r="P71" s="4">
        <v>2.98</v>
      </c>
      <c r="Q71" s="12">
        <v>46.682000000000002</v>
      </c>
      <c r="R71" s="4" t="s">
        <v>247</v>
      </c>
      <c r="S71" s="4">
        <v>11.036</v>
      </c>
      <c r="T71" s="4">
        <v>35.646000000000001</v>
      </c>
    </row>
    <row r="72" spans="1:20" ht="15" thickBot="1" x14ac:dyDescent="0.35">
      <c r="A72" s="2" t="s">
        <v>49</v>
      </c>
      <c r="B72" s="2" t="s">
        <v>21</v>
      </c>
      <c r="C72" s="2" t="s">
        <v>82</v>
      </c>
      <c r="D72" s="2" t="s">
        <v>248</v>
      </c>
      <c r="E72" s="2" t="s">
        <v>84</v>
      </c>
      <c r="F72" s="2" t="s">
        <v>249</v>
      </c>
      <c r="G72" s="2" t="s">
        <v>217</v>
      </c>
      <c r="H72" s="3">
        <v>43936</v>
      </c>
      <c r="I72" s="2" t="s">
        <v>91</v>
      </c>
      <c r="J72" s="2" t="s">
        <v>92</v>
      </c>
      <c r="K72" s="4">
        <v>2020</v>
      </c>
      <c r="L72" s="4">
        <v>316</v>
      </c>
      <c r="M72" s="4" t="s">
        <v>87</v>
      </c>
      <c r="N72" s="4" t="s">
        <v>116</v>
      </c>
      <c r="O72" s="4">
        <v>3.476</v>
      </c>
      <c r="P72" s="4">
        <v>209</v>
      </c>
      <c r="Q72" s="12">
        <v>3.2669999999999999</v>
      </c>
      <c r="R72" s="5">
        <v>26665</v>
      </c>
      <c r="S72" s="4">
        <v>1.264</v>
      </c>
      <c r="T72" s="4">
        <v>2.0030000000000001</v>
      </c>
    </row>
    <row r="73" spans="1:20" ht="15" thickBot="1" x14ac:dyDescent="0.35">
      <c r="A73" s="2" t="s">
        <v>20</v>
      </c>
      <c r="B73" s="2" t="s">
        <v>34</v>
      </c>
      <c r="C73" s="2" t="s">
        <v>82</v>
      </c>
      <c r="D73" s="2" t="s">
        <v>250</v>
      </c>
      <c r="E73" s="2" t="s">
        <v>84</v>
      </c>
      <c r="F73" s="2" t="s">
        <v>251</v>
      </c>
      <c r="G73" s="2" t="s">
        <v>217</v>
      </c>
      <c r="H73" s="3">
        <v>44424</v>
      </c>
      <c r="I73" s="2" t="s">
        <v>53</v>
      </c>
      <c r="J73" s="2" t="s">
        <v>28</v>
      </c>
      <c r="K73" s="4">
        <v>2021</v>
      </c>
      <c r="L73" s="4">
        <v>1.0640000000000001</v>
      </c>
      <c r="M73" s="4" t="s">
        <v>87</v>
      </c>
      <c r="N73" s="4" t="s">
        <v>30</v>
      </c>
      <c r="O73" s="4">
        <v>200.03200000000001</v>
      </c>
      <c r="P73" s="4">
        <v>12.002000000000001</v>
      </c>
      <c r="Q73" s="12">
        <v>188.03</v>
      </c>
      <c r="R73" s="4" t="s">
        <v>252</v>
      </c>
      <c r="S73" s="4">
        <v>4.2560000000000002</v>
      </c>
      <c r="T73" s="4">
        <v>183.774</v>
      </c>
    </row>
    <row r="74" spans="1:20" ht="15" thickBot="1" x14ac:dyDescent="0.35">
      <c r="A74" s="2" t="s">
        <v>49</v>
      </c>
      <c r="B74" s="2" t="s">
        <v>44</v>
      </c>
      <c r="C74" s="2" t="s">
        <v>22</v>
      </c>
      <c r="D74" s="2" t="s">
        <v>253</v>
      </c>
      <c r="E74" s="2" t="s">
        <v>24</v>
      </c>
      <c r="F74" s="2" t="s">
        <v>254</v>
      </c>
      <c r="G74" s="2" t="s">
        <v>217</v>
      </c>
      <c r="H74" s="3">
        <v>44464</v>
      </c>
      <c r="I74" s="2" t="s">
        <v>27</v>
      </c>
      <c r="J74" s="2" t="s">
        <v>28</v>
      </c>
      <c r="K74" s="4">
        <v>2021</v>
      </c>
      <c r="L74" s="4">
        <v>1.6839999999999999</v>
      </c>
      <c r="M74" s="4" t="s">
        <v>29</v>
      </c>
      <c r="N74" s="4" t="s">
        <v>116</v>
      </c>
      <c r="O74" s="4">
        <v>18.524000000000001</v>
      </c>
      <c r="P74" s="4">
        <v>1.111</v>
      </c>
      <c r="Q74" s="12">
        <v>17.413</v>
      </c>
      <c r="R74" s="5">
        <v>45170</v>
      </c>
      <c r="S74" s="4">
        <v>10.103999999999999</v>
      </c>
      <c r="T74" s="4">
        <v>7.3090000000000002</v>
      </c>
    </row>
    <row r="75" spans="1:20" ht="29.4" thickBot="1" x14ac:dyDescent="0.35">
      <c r="A75" s="2" t="s">
        <v>58</v>
      </c>
      <c r="B75" s="2" t="s">
        <v>50</v>
      </c>
      <c r="C75" s="2" t="s">
        <v>35</v>
      </c>
      <c r="D75" s="2" t="s">
        <v>255</v>
      </c>
      <c r="E75" s="2" t="s">
        <v>37</v>
      </c>
      <c r="F75" s="2" t="s">
        <v>198</v>
      </c>
      <c r="G75" s="2" t="s">
        <v>217</v>
      </c>
      <c r="H75" s="3">
        <v>43946</v>
      </c>
      <c r="I75" s="2" t="s">
        <v>91</v>
      </c>
      <c r="J75" s="2" t="s">
        <v>92</v>
      </c>
      <c r="K75" s="4">
        <v>2020</v>
      </c>
      <c r="L75" s="4">
        <v>2.7589999999999999</v>
      </c>
      <c r="M75" s="4" t="s">
        <v>41</v>
      </c>
      <c r="N75" s="4" t="s">
        <v>63</v>
      </c>
      <c r="O75" s="4">
        <v>49.661999999999999</v>
      </c>
      <c r="P75" s="4">
        <v>2.98</v>
      </c>
      <c r="Q75" s="12">
        <v>46.682000000000002</v>
      </c>
      <c r="R75" s="4" t="s">
        <v>247</v>
      </c>
      <c r="S75" s="4">
        <v>33.107999999999997</v>
      </c>
      <c r="T75" s="4">
        <v>13.574</v>
      </c>
    </row>
    <row r="76" spans="1:20" ht="15" thickBot="1" x14ac:dyDescent="0.35">
      <c r="A76" s="2" t="s">
        <v>49</v>
      </c>
      <c r="B76" s="2" t="s">
        <v>44</v>
      </c>
      <c r="C76" s="2" t="s">
        <v>35</v>
      </c>
      <c r="D76" s="2" t="s">
        <v>150</v>
      </c>
      <c r="E76" s="2" t="s">
        <v>37</v>
      </c>
      <c r="F76" s="2" t="s">
        <v>151</v>
      </c>
      <c r="G76" s="2" t="s">
        <v>217</v>
      </c>
      <c r="H76" s="3">
        <v>44305</v>
      </c>
      <c r="I76" s="2" t="s">
        <v>91</v>
      </c>
      <c r="J76" s="2" t="s">
        <v>92</v>
      </c>
      <c r="K76" s="4">
        <v>2021</v>
      </c>
      <c r="L76" s="4">
        <v>872</v>
      </c>
      <c r="M76" s="4" t="s">
        <v>41</v>
      </c>
      <c r="N76" s="4" t="s">
        <v>54</v>
      </c>
      <c r="O76" s="4">
        <v>457.8</v>
      </c>
      <c r="P76" s="4">
        <v>27.468</v>
      </c>
      <c r="Q76" s="12">
        <v>430.33199999999999</v>
      </c>
      <c r="R76" s="4" t="s">
        <v>256</v>
      </c>
      <c r="S76" s="4">
        <v>10.464</v>
      </c>
      <c r="T76" s="4">
        <v>419.86799999999999</v>
      </c>
    </row>
    <row r="77" spans="1:20" ht="29.4" thickBot="1" x14ac:dyDescent="0.35">
      <c r="A77" s="2" t="s">
        <v>43</v>
      </c>
      <c r="B77" s="2" t="s">
        <v>59</v>
      </c>
      <c r="C77" s="2" t="s">
        <v>69</v>
      </c>
      <c r="D77" s="2" t="s">
        <v>257</v>
      </c>
      <c r="E77" s="2" t="s">
        <v>71</v>
      </c>
      <c r="F77" s="2" t="s">
        <v>258</v>
      </c>
      <c r="G77" s="2" t="s">
        <v>217</v>
      </c>
      <c r="H77" s="3">
        <v>43976</v>
      </c>
      <c r="I77" s="2" t="s">
        <v>142</v>
      </c>
      <c r="J77" s="2" t="s">
        <v>92</v>
      </c>
      <c r="K77" s="4">
        <v>2020</v>
      </c>
      <c r="L77" s="4">
        <v>1.4650000000000001</v>
      </c>
      <c r="M77" s="4" t="s">
        <v>73</v>
      </c>
      <c r="N77" s="4" t="s">
        <v>47</v>
      </c>
      <c r="O77" s="4">
        <v>659.25</v>
      </c>
      <c r="P77" s="4">
        <v>39.555</v>
      </c>
      <c r="Q77" s="12">
        <v>619.69500000000005</v>
      </c>
      <c r="R77" s="4" t="s">
        <v>259</v>
      </c>
      <c r="S77" s="4">
        <v>216.82</v>
      </c>
      <c r="T77" s="4">
        <v>402.875</v>
      </c>
    </row>
    <row r="78" spans="1:20" ht="15" thickBot="1" x14ac:dyDescent="0.35">
      <c r="A78" s="2" t="s">
        <v>49</v>
      </c>
      <c r="B78" s="2" t="s">
        <v>64</v>
      </c>
      <c r="C78" s="2" t="s">
        <v>69</v>
      </c>
      <c r="D78" s="2" t="s">
        <v>239</v>
      </c>
      <c r="E78" s="2" t="s">
        <v>71</v>
      </c>
      <c r="F78" s="2" t="s">
        <v>240</v>
      </c>
      <c r="G78" s="2" t="s">
        <v>217</v>
      </c>
      <c r="H78" s="3">
        <v>44098</v>
      </c>
      <c r="I78" s="2" t="s">
        <v>27</v>
      </c>
      <c r="J78" s="2" t="s">
        <v>28</v>
      </c>
      <c r="K78" s="4">
        <v>2020</v>
      </c>
      <c r="L78" s="4">
        <v>2.4910000000000001</v>
      </c>
      <c r="M78" s="4" t="s">
        <v>73</v>
      </c>
      <c r="N78" s="4" t="s">
        <v>54</v>
      </c>
      <c r="O78" s="4" t="s">
        <v>260</v>
      </c>
      <c r="P78" s="4">
        <v>78.466999999999999</v>
      </c>
      <c r="Q78" s="12" t="s">
        <v>261</v>
      </c>
      <c r="R78" s="4" t="s">
        <v>262</v>
      </c>
      <c r="S78" s="4">
        <v>368.66800000000001</v>
      </c>
      <c r="T78" s="4">
        <v>860.64099999999996</v>
      </c>
    </row>
    <row r="79" spans="1:20" ht="29.4" thickBot="1" x14ac:dyDescent="0.35">
      <c r="A79" s="2" t="s">
        <v>43</v>
      </c>
      <c r="B79" s="2" t="s">
        <v>64</v>
      </c>
      <c r="C79" s="2" t="s">
        <v>75</v>
      </c>
      <c r="D79" s="2" t="s">
        <v>263</v>
      </c>
      <c r="E79" s="2" t="s">
        <v>77</v>
      </c>
      <c r="F79" s="2" t="s">
        <v>264</v>
      </c>
      <c r="G79" s="2" t="s">
        <v>217</v>
      </c>
      <c r="H79" s="3">
        <v>44063</v>
      </c>
      <c r="I79" s="2" t="s">
        <v>53</v>
      </c>
      <c r="J79" s="2" t="s">
        <v>28</v>
      </c>
      <c r="K79" s="4">
        <v>2020</v>
      </c>
      <c r="L79" s="4">
        <v>1.4650000000000001</v>
      </c>
      <c r="M79" s="4" t="s">
        <v>80</v>
      </c>
      <c r="N79" s="4" t="s">
        <v>47</v>
      </c>
      <c r="O79" s="4">
        <v>659.25</v>
      </c>
      <c r="P79" s="4">
        <v>39.555</v>
      </c>
      <c r="Q79" s="12">
        <v>619.69500000000005</v>
      </c>
      <c r="R79" s="4" t="s">
        <v>259</v>
      </c>
      <c r="S79" s="4">
        <v>451.22</v>
      </c>
      <c r="T79" s="4">
        <v>168.47499999999999</v>
      </c>
    </row>
    <row r="80" spans="1:20" ht="15" thickBot="1" x14ac:dyDescent="0.35">
      <c r="A80" s="2" t="s">
        <v>49</v>
      </c>
      <c r="B80" s="2" t="s">
        <v>34</v>
      </c>
      <c r="C80" s="2" t="s">
        <v>75</v>
      </c>
      <c r="D80" s="2" t="s">
        <v>171</v>
      </c>
      <c r="E80" s="2" t="s">
        <v>77</v>
      </c>
      <c r="F80" s="2" t="s">
        <v>172</v>
      </c>
      <c r="G80" s="2" t="s">
        <v>217</v>
      </c>
      <c r="H80" s="3">
        <v>44402</v>
      </c>
      <c r="I80" s="2" t="s">
        <v>62</v>
      </c>
      <c r="J80" s="2" t="s">
        <v>28</v>
      </c>
      <c r="K80" s="4">
        <v>2021</v>
      </c>
      <c r="L80" s="4">
        <v>1.3480000000000001</v>
      </c>
      <c r="M80" s="4" t="s">
        <v>80</v>
      </c>
      <c r="N80" s="4" t="s">
        <v>165</v>
      </c>
      <c r="O80" s="4">
        <v>40.44</v>
      </c>
      <c r="P80" s="4">
        <v>2.4260000000000002</v>
      </c>
      <c r="Q80" s="12">
        <v>38.014000000000003</v>
      </c>
      <c r="R80" s="6">
        <v>45982</v>
      </c>
      <c r="S80" s="4">
        <v>415.18400000000003</v>
      </c>
      <c r="T80" s="4">
        <v>-377.17</v>
      </c>
    </row>
    <row r="81" spans="1:20" ht="29.4" thickBot="1" x14ac:dyDescent="0.35">
      <c r="A81" s="2" t="s">
        <v>43</v>
      </c>
      <c r="B81" s="2" t="s">
        <v>68</v>
      </c>
      <c r="C81" s="2" t="s">
        <v>75</v>
      </c>
      <c r="D81" s="2" t="s">
        <v>265</v>
      </c>
      <c r="E81" s="2" t="s">
        <v>77</v>
      </c>
      <c r="F81" s="2" t="s">
        <v>266</v>
      </c>
      <c r="G81" s="2" t="s">
        <v>217</v>
      </c>
      <c r="H81" s="3">
        <v>43895</v>
      </c>
      <c r="I81" s="2" t="s">
        <v>112</v>
      </c>
      <c r="J81" s="2" t="s">
        <v>40</v>
      </c>
      <c r="K81" s="4">
        <v>2020</v>
      </c>
      <c r="L81" s="4">
        <v>2.923</v>
      </c>
      <c r="M81" s="4" t="s">
        <v>80</v>
      </c>
      <c r="N81" s="4" t="s">
        <v>47</v>
      </c>
      <c r="O81" s="4" t="s">
        <v>267</v>
      </c>
      <c r="P81" s="4">
        <v>78.921000000000006</v>
      </c>
      <c r="Q81" s="12" t="s">
        <v>268</v>
      </c>
      <c r="R81" s="4" t="s">
        <v>269</v>
      </c>
      <c r="S81" s="4">
        <v>900.28399999999999</v>
      </c>
      <c r="T81" s="4">
        <v>336.14499999999998</v>
      </c>
    </row>
    <row r="82" spans="1:20" ht="29.4" thickBot="1" x14ac:dyDescent="0.35">
      <c r="A82" s="2" t="s">
        <v>49</v>
      </c>
      <c r="B82" s="2" t="s">
        <v>74</v>
      </c>
      <c r="C82" s="2" t="s">
        <v>120</v>
      </c>
      <c r="D82" s="2" t="s">
        <v>270</v>
      </c>
      <c r="E82" s="2" t="s">
        <v>122</v>
      </c>
      <c r="F82" s="2" t="s">
        <v>271</v>
      </c>
      <c r="G82" s="2" t="s">
        <v>217</v>
      </c>
      <c r="H82" s="3">
        <v>44248</v>
      </c>
      <c r="I82" s="2" t="s">
        <v>79</v>
      </c>
      <c r="J82" s="2" t="s">
        <v>40</v>
      </c>
      <c r="K82" s="4">
        <v>2021</v>
      </c>
      <c r="L82" s="4">
        <v>872</v>
      </c>
      <c r="M82" s="4" t="s">
        <v>124</v>
      </c>
      <c r="N82" s="4" t="s">
        <v>54</v>
      </c>
      <c r="O82" s="4">
        <v>457.8</v>
      </c>
      <c r="P82" s="4">
        <v>27.468</v>
      </c>
      <c r="Q82" s="12">
        <v>430.33199999999999</v>
      </c>
      <c r="R82" s="4" t="s">
        <v>256</v>
      </c>
      <c r="S82" s="4">
        <v>279.04000000000002</v>
      </c>
      <c r="T82" s="4">
        <v>151.292</v>
      </c>
    </row>
    <row r="83" spans="1:20" ht="15" thickBot="1" x14ac:dyDescent="0.35">
      <c r="A83" s="2" t="s">
        <v>49</v>
      </c>
      <c r="B83" s="2" t="s">
        <v>21</v>
      </c>
      <c r="C83" s="2" t="s">
        <v>120</v>
      </c>
      <c r="D83" s="2" t="s">
        <v>272</v>
      </c>
      <c r="E83" s="2" t="s">
        <v>122</v>
      </c>
      <c r="F83" s="2" t="s">
        <v>273</v>
      </c>
      <c r="G83" s="2" t="s">
        <v>217</v>
      </c>
      <c r="H83" s="3">
        <v>44082</v>
      </c>
      <c r="I83" s="2" t="s">
        <v>27</v>
      </c>
      <c r="J83" s="2" t="s">
        <v>28</v>
      </c>
      <c r="K83" s="4">
        <v>2020</v>
      </c>
      <c r="L83" s="4">
        <v>1.6839999999999999</v>
      </c>
      <c r="M83" s="4" t="s">
        <v>124</v>
      </c>
      <c r="N83" s="4" t="s">
        <v>116</v>
      </c>
      <c r="O83" s="4">
        <v>18.524000000000001</v>
      </c>
      <c r="P83" s="4">
        <v>1.111</v>
      </c>
      <c r="Q83" s="12">
        <v>17.413</v>
      </c>
      <c r="R83" s="5">
        <v>45170</v>
      </c>
      <c r="S83" s="4">
        <v>538.88</v>
      </c>
      <c r="T83" s="4">
        <v>-521.46699999999998</v>
      </c>
    </row>
    <row r="84" spans="1:20" ht="15" thickBot="1" x14ac:dyDescent="0.35">
      <c r="A84" s="2" t="s">
        <v>49</v>
      </c>
      <c r="B84" s="2" t="s">
        <v>21</v>
      </c>
      <c r="C84" s="2" t="s">
        <v>120</v>
      </c>
      <c r="D84" s="2" t="s">
        <v>272</v>
      </c>
      <c r="E84" s="2" t="s">
        <v>122</v>
      </c>
      <c r="F84" s="2" t="s">
        <v>273</v>
      </c>
      <c r="G84" s="2" t="s">
        <v>217</v>
      </c>
      <c r="H84" s="3">
        <v>44429</v>
      </c>
      <c r="I84" s="2" t="s">
        <v>53</v>
      </c>
      <c r="J84" s="2" t="s">
        <v>28</v>
      </c>
      <c r="K84" s="4">
        <v>2021</v>
      </c>
      <c r="L84" s="4">
        <v>2.4910000000000001</v>
      </c>
      <c r="M84" s="4" t="s">
        <v>124</v>
      </c>
      <c r="N84" s="4" t="s">
        <v>54</v>
      </c>
      <c r="O84" s="4" t="s">
        <v>260</v>
      </c>
      <c r="P84" s="4">
        <v>78.466999999999999</v>
      </c>
      <c r="Q84" s="12" t="s">
        <v>261</v>
      </c>
      <c r="R84" s="4" t="s">
        <v>262</v>
      </c>
      <c r="S84" s="4">
        <v>797.12</v>
      </c>
      <c r="T84" s="4">
        <v>432.18900000000002</v>
      </c>
    </row>
    <row r="85" spans="1:20" ht="15" thickBot="1" x14ac:dyDescent="0.35">
      <c r="A85" s="2" t="s">
        <v>49</v>
      </c>
      <c r="B85" s="2" t="s">
        <v>44</v>
      </c>
      <c r="C85" s="2" t="s">
        <v>22</v>
      </c>
      <c r="D85" s="2" t="s">
        <v>253</v>
      </c>
      <c r="E85" s="2" t="s">
        <v>24</v>
      </c>
      <c r="F85" s="2" t="s">
        <v>254</v>
      </c>
      <c r="G85" s="2" t="s">
        <v>217</v>
      </c>
      <c r="H85" s="3">
        <v>44334</v>
      </c>
      <c r="I85" s="2" t="s">
        <v>142</v>
      </c>
      <c r="J85" s="2" t="s">
        <v>92</v>
      </c>
      <c r="K85" s="4">
        <v>2021</v>
      </c>
      <c r="L85" s="4">
        <v>2.1080000000000001</v>
      </c>
      <c r="M85" s="4" t="s">
        <v>29</v>
      </c>
      <c r="N85" s="4" t="s">
        <v>165</v>
      </c>
      <c r="O85" s="4">
        <v>63.24</v>
      </c>
      <c r="P85" s="4">
        <v>3.794</v>
      </c>
      <c r="Q85" s="12">
        <v>59.445999999999998</v>
      </c>
      <c r="R85" s="4" t="s">
        <v>274</v>
      </c>
      <c r="S85" s="4">
        <v>12.648</v>
      </c>
      <c r="T85" s="4">
        <v>46.798000000000002</v>
      </c>
    </row>
    <row r="86" spans="1:20" ht="15" thickBot="1" x14ac:dyDescent="0.35">
      <c r="A86" s="2" t="s">
        <v>49</v>
      </c>
      <c r="B86" s="2" t="s">
        <v>50</v>
      </c>
      <c r="C86" s="2" t="s">
        <v>35</v>
      </c>
      <c r="D86" s="2" t="s">
        <v>233</v>
      </c>
      <c r="E86" s="2" t="s">
        <v>37</v>
      </c>
      <c r="F86" s="2" t="s">
        <v>234</v>
      </c>
      <c r="G86" s="2" t="s">
        <v>217</v>
      </c>
      <c r="H86" s="3">
        <v>44437</v>
      </c>
      <c r="I86" s="2" t="s">
        <v>53</v>
      </c>
      <c r="J86" s="2" t="s">
        <v>28</v>
      </c>
      <c r="K86" s="4">
        <v>2021</v>
      </c>
      <c r="L86" s="4">
        <v>2.1080000000000001</v>
      </c>
      <c r="M86" s="4" t="s">
        <v>41</v>
      </c>
      <c r="N86" s="4" t="s">
        <v>165</v>
      </c>
      <c r="O86" s="4">
        <v>63.24</v>
      </c>
      <c r="P86" s="4">
        <v>3.794</v>
      </c>
      <c r="Q86" s="12">
        <v>59.445999999999998</v>
      </c>
      <c r="R86" s="4" t="s">
        <v>274</v>
      </c>
      <c r="S86" s="4">
        <v>25.295999999999999</v>
      </c>
      <c r="T86" s="4">
        <v>34.15</v>
      </c>
    </row>
    <row r="87" spans="1:20" ht="15" thickBot="1" x14ac:dyDescent="0.35">
      <c r="A87" s="2" t="s">
        <v>49</v>
      </c>
      <c r="B87" s="2" t="s">
        <v>34</v>
      </c>
      <c r="C87" s="2" t="s">
        <v>82</v>
      </c>
      <c r="D87" s="2" t="s">
        <v>275</v>
      </c>
      <c r="E87" s="2" t="s">
        <v>84</v>
      </c>
      <c r="F87" s="2" t="s">
        <v>276</v>
      </c>
      <c r="G87" s="2" t="s">
        <v>217</v>
      </c>
      <c r="H87" s="3">
        <v>44309</v>
      </c>
      <c r="I87" s="2" t="s">
        <v>91</v>
      </c>
      <c r="J87" s="2" t="s">
        <v>92</v>
      </c>
      <c r="K87" s="4">
        <v>2021</v>
      </c>
      <c r="L87" s="4">
        <v>2.2010000000000001</v>
      </c>
      <c r="M87" s="4" t="s">
        <v>87</v>
      </c>
      <c r="N87" s="4" t="s">
        <v>165</v>
      </c>
      <c r="O87" s="4">
        <v>66.03</v>
      </c>
      <c r="P87" s="4">
        <v>4.6219999999999999</v>
      </c>
      <c r="Q87" s="12">
        <v>61.408000000000001</v>
      </c>
      <c r="R87" s="4" t="s">
        <v>277</v>
      </c>
      <c r="S87" s="4">
        <v>8.8040000000000003</v>
      </c>
      <c r="T87" s="4">
        <v>52.603999999999999</v>
      </c>
    </row>
    <row r="88" spans="1:20" ht="15" thickBot="1" x14ac:dyDescent="0.35">
      <c r="A88" s="2" t="s">
        <v>49</v>
      </c>
      <c r="B88" s="2" t="s">
        <v>50</v>
      </c>
      <c r="C88" s="2" t="s">
        <v>35</v>
      </c>
      <c r="D88" s="2" t="s">
        <v>233</v>
      </c>
      <c r="E88" s="2" t="s">
        <v>37</v>
      </c>
      <c r="F88" s="2" t="s">
        <v>234</v>
      </c>
      <c r="G88" s="2" t="s">
        <v>217</v>
      </c>
      <c r="H88" s="3">
        <v>44233</v>
      </c>
      <c r="I88" s="2" t="s">
        <v>79</v>
      </c>
      <c r="J88" s="2" t="s">
        <v>40</v>
      </c>
      <c r="K88" s="4">
        <v>2021</v>
      </c>
      <c r="L88" s="4">
        <v>1.2370000000000001</v>
      </c>
      <c r="M88" s="4" t="s">
        <v>41</v>
      </c>
      <c r="N88" s="4" t="s">
        <v>116</v>
      </c>
      <c r="O88" s="4">
        <v>13.606999999999999</v>
      </c>
      <c r="P88" s="4">
        <v>952</v>
      </c>
      <c r="Q88" s="12">
        <v>12.654999999999999</v>
      </c>
      <c r="R88" s="5">
        <v>26085</v>
      </c>
      <c r="S88" s="4">
        <v>14.843999999999999</v>
      </c>
      <c r="T88" s="4">
        <v>-2.1890000000000001</v>
      </c>
    </row>
    <row r="89" spans="1:20" ht="29.4" thickBot="1" x14ac:dyDescent="0.35">
      <c r="A89" s="2" t="s">
        <v>58</v>
      </c>
      <c r="B89" s="2" t="s">
        <v>44</v>
      </c>
      <c r="C89" s="2" t="s">
        <v>75</v>
      </c>
      <c r="D89" s="2" t="s">
        <v>278</v>
      </c>
      <c r="E89" s="2" t="s">
        <v>77</v>
      </c>
      <c r="F89" s="2" t="s">
        <v>279</v>
      </c>
      <c r="G89" s="2" t="s">
        <v>217</v>
      </c>
      <c r="H89" s="3">
        <v>43832</v>
      </c>
      <c r="I89" s="2" t="s">
        <v>39</v>
      </c>
      <c r="J89" s="2" t="s">
        <v>40</v>
      </c>
      <c r="K89" s="4">
        <v>2020</v>
      </c>
      <c r="L89" s="4">
        <v>2.6579999999999999</v>
      </c>
      <c r="M89" s="4" t="s">
        <v>80</v>
      </c>
      <c r="N89" s="4" t="s">
        <v>63</v>
      </c>
      <c r="O89" s="4">
        <v>47.844000000000001</v>
      </c>
      <c r="P89" s="4">
        <v>3.3490000000000002</v>
      </c>
      <c r="Q89" s="12">
        <v>44.494999999999997</v>
      </c>
      <c r="R89" s="4" t="s">
        <v>280</v>
      </c>
      <c r="S89" s="4">
        <v>818.66399999999999</v>
      </c>
      <c r="T89" s="4">
        <v>-774.16899999999998</v>
      </c>
    </row>
    <row r="90" spans="1:20" ht="15" thickBot="1" x14ac:dyDescent="0.35">
      <c r="A90" s="2" t="s">
        <v>20</v>
      </c>
      <c r="B90" s="2" t="s">
        <v>50</v>
      </c>
      <c r="C90" s="2" t="s">
        <v>22</v>
      </c>
      <c r="D90" s="2" t="s">
        <v>281</v>
      </c>
      <c r="E90" s="2" t="s">
        <v>24</v>
      </c>
      <c r="F90" s="2" t="s">
        <v>282</v>
      </c>
      <c r="G90" s="2" t="s">
        <v>217</v>
      </c>
      <c r="H90" s="3">
        <v>43903</v>
      </c>
      <c r="I90" s="2" t="s">
        <v>112</v>
      </c>
      <c r="J90" s="2" t="s">
        <v>40</v>
      </c>
      <c r="K90" s="4">
        <v>2020</v>
      </c>
      <c r="L90" s="4">
        <v>3</v>
      </c>
      <c r="M90" s="4" t="s">
        <v>29</v>
      </c>
      <c r="N90" s="4" t="s">
        <v>30</v>
      </c>
      <c r="O90" s="4">
        <v>564</v>
      </c>
      <c r="P90" s="4">
        <v>39.479999999999997</v>
      </c>
      <c r="Q90" s="12">
        <v>524.52</v>
      </c>
      <c r="R90" s="4" t="s">
        <v>283</v>
      </c>
      <c r="S90" s="4">
        <v>18</v>
      </c>
      <c r="T90" s="4">
        <v>506.52</v>
      </c>
    </row>
    <row r="91" spans="1:20" ht="15" thickBot="1" x14ac:dyDescent="0.35">
      <c r="A91" s="2" t="s">
        <v>33</v>
      </c>
      <c r="B91" s="2" t="s">
        <v>34</v>
      </c>
      <c r="C91" s="2" t="s">
        <v>35</v>
      </c>
      <c r="D91" s="2" t="s">
        <v>147</v>
      </c>
      <c r="E91" s="2" t="s">
        <v>37</v>
      </c>
      <c r="F91" s="2" t="s">
        <v>148</v>
      </c>
      <c r="G91" s="2" t="s">
        <v>217</v>
      </c>
      <c r="H91" s="3">
        <v>44086</v>
      </c>
      <c r="I91" s="2" t="s">
        <v>27</v>
      </c>
      <c r="J91" s="2" t="s">
        <v>28</v>
      </c>
      <c r="K91" s="4">
        <v>2020</v>
      </c>
      <c r="L91" s="4">
        <v>3.5169999999999999</v>
      </c>
      <c r="M91" s="4" t="s">
        <v>41</v>
      </c>
      <c r="N91" s="4" t="s">
        <v>42</v>
      </c>
      <c r="O91" s="4">
        <v>80.891000000000005</v>
      </c>
      <c r="P91" s="4">
        <v>5.6619999999999999</v>
      </c>
      <c r="Q91" s="12">
        <v>75.228999999999999</v>
      </c>
      <c r="R91" s="4" t="s">
        <v>284</v>
      </c>
      <c r="S91" s="4">
        <v>42.204000000000001</v>
      </c>
      <c r="T91" s="4">
        <v>33.024999999999999</v>
      </c>
    </row>
    <row r="92" spans="1:20" ht="29.4" thickBot="1" x14ac:dyDescent="0.35">
      <c r="A92" s="2" t="s">
        <v>43</v>
      </c>
      <c r="B92" s="2" t="s">
        <v>59</v>
      </c>
      <c r="C92" s="2" t="s">
        <v>35</v>
      </c>
      <c r="D92" s="2" t="s">
        <v>285</v>
      </c>
      <c r="E92" s="2" t="s">
        <v>37</v>
      </c>
      <c r="F92" s="2" t="s">
        <v>249</v>
      </c>
      <c r="G92" s="2" t="s">
        <v>217</v>
      </c>
      <c r="H92" s="3">
        <v>43998</v>
      </c>
      <c r="I92" s="2" t="s">
        <v>205</v>
      </c>
      <c r="J92" s="2" t="s">
        <v>92</v>
      </c>
      <c r="K92" s="4">
        <v>2020</v>
      </c>
      <c r="L92" s="4">
        <v>1.3480000000000001</v>
      </c>
      <c r="M92" s="4" t="s">
        <v>41</v>
      </c>
      <c r="N92" s="4" t="s">
        <v>47</v>
      </c>
      <c r="O92" s="4">
        <v>606.6</v>
      </c>
      <c r="P92" s="4">
        <v>42.462000000000003</v>
      </c>
      <c r="Q92" s="12">
        <v>564.13800000000003</v>
      </c>
      <c r="R92" s="4" t="s">
        <v>286</v>
      </c>
      <c r="S92" s="4">
        <v>16.175999999999998</v>
      </c>
      <c r="T92" s="4">
        <v>547.96199999999999</v>
      </c>
    </row>
    <row r="93" spans="1:20" ht="29.4" thickBot="1" x14ac:dyDescent="0.35">
      <c r="A93" s="2" t="s">
        <v>43</v>
      </c>
      <c r="B93" s="2" t="s">
        <v>64</v>
      </c>
      <c r="C93" s="2" t="s">
        <v>35</v>
      </c>
      <c r="D93" s="2" t="s">
        <v>287</v>
      </c>
      <c r="E93" s="2" t="s">
        <v>37</v>
      </c>
      <c r="F93" s="2" t="s">
        <v>288</v>
      </c>
      <c r="G93" s="2" t="s">
        <v>217</v>
      </c>
      <c r="H93" s="3">
        <v>44335</v>
      </c>
      <c r="I93" s="2" t="s">
        <v>142</v>
      </c>
      <c r="J93" s="2" t="s">
        <v>92</v>
      </c>
      <c r="K93" s="4">
        <v>2021</v>
      </c>
      <c r="L93" s="4">
        <v>1.6850000000000001</v>
      </c>
      <c r="M93" s="4" t="s">
        <v>41</v>
      </c>
      <c r="N93" s="4" t="s">
        <v>47</v>
      </c>
      <c r="O93" s="4">
        <v>758.25</v>
      </c>
      <c r="P93" s="4">
        <v>53.078000000000003</v>
      </c>
      <c r="Q93" s="12">
        <v>705.173</v>
      </c>
      <c r="R93" s="4" t="s">
        <v>289</v>
      </c>
      <c r="S93" s="4">
        <v>20.22</v>
      </c>
      <c r="T93" s="4">
        <v>684.95299999999997</v>
      </c>
    </row>
    <row r="94" spans="1:20" ht="29.4" thickBot="1" x14ac:dyDescent="0.35">
      <c r="A94" s="2" t="s">
        <v>58</v>
      </c>
      <c r="B94" s="2" t="s">
        <v>68</v>
      </c>
      <c r="C94" s="2" t="s">
        <v>35</v>
      </c>
      <c r="D94" s="2" t="s">
        <v>290</v>
      </c>
      <c r="E94" s="2" t="s">
        <v>37</v>
      </c>
      <c r="F94" s="2" t="s">
        <v>291</v>
      </c>
      <c r="G94" s="2" t="s">
        <v>217</v>
      </c>
      <c r="H94" s="3">
        <v>43928</v>
      </c>
      <c r="I94" s="2" t="s">
        <v>91</v>
      </c>
      <c r="J94" s="2" t="s">
        <v>92</v>
      </c>
      <c r="K94" s="4">
        <v>2020</v>
      </c>
      <c r="L94" s="4">
        <v>3.3159999999999998</v>
      </c>
      <c r="M94" s="4" t="s">
        <v>41</v>
      </c>
      <c r="N94" s="4" t="s">
        <v>63</v>
      </c>
      <c r="O94" s="4">
        <v>59.688000000000002</v>
      </c>
      <c r="P94" s="4">
        <v>4.1779999999999999</v>
      </c>
      <c r="Q94" s="12">
        <v>55.51</v>
      </c>
      <c r="R94" s="4" t="s">
        <v>292</v>
      </c>
      <c r="S94" s="4">
        <v>39.792000000000002</v>
      </c>
      <c r="T94" s="4">
        <v>15.718</v>
      </c>
    </row>
    <row r="95" spans="1:20" ht="15" thickBot="1" x14ac:dyDescent="0.35">
      <c r="A95" s="2" t="s">
        <v>49</v>
      </c>
      <c r="B95" s="2" t="s">
        <v>74</v>
      </c>
      <c r="C95" s="2" t="s">
        <v>35</v>
      </c>
      <c r="D95" s="2" t="s">
        <v>293</v>
      </c>
      <c r="E95" s="2" t="s">
        <v>37</v>
      </c>
      <c r="F95" s="2" t="s">
        <v>294</v>
      </c>
      <c r="G95" s="2" t="s">
        <v>217</v>
      </c>
      <c r="H95" s="3">
        <v>44361</v>
      </c>
      <c r="I95" s="2" t="s">
        <v>205</v>
      </c>
      <c r="J95" s="2" t="s">
        <v>92</v>
      </c>
      <c r="K95" s="4">
        <v>2021</v>
      </c>
      <c r="L95" s="4">
        <v>2.5499999999999998</v>
      </c>
      <c r="M95" s="4" t="s">
        <v>41</v>
      </c>
      <c r="N95" s="4" t="s">
        <v>116</v>
      </c>
      <c r="O95" s="4">
        <v>28.05</v>
      </c>
      <c r="P95" s="4">
        <v>1.964</v>
      </c>
      <c r="Q95" s="12">
        <v>26.087</v>
      </c>
      <c r="R95" s="4" t="s">
        <v>295</v>
      </c>
      <c r="S95" s="4">
        <v>30.6</v>
      </c>
      <c r="T95" s="4">
        <v>-4.5140000000000002</v>
      </c>
    </row>
    <row r="96" spans="1:20" ht="15" thickBot="1" x14ac:dyDescent="0.35">
      <c r="A96" s="2" t="s">
        <v>49</v>
      </c>
      <c r="B96" s="2" t="s">
        <v>21</v>
      </c>
      <c r="C96" s="2" t="s">
        <v>69</v>
      </c>
      <c r="D96" s="2" t="s">
        <v>194</v>
      </c>
      <c r="E96" s="2" t="s">
        <v>71</v>
      </c>
      <c r="F96" s="2" t="s">
        <v>195</v>
      </c>
      <c r="G96" s="2" t="s">
        <v>217</v>
      </c>
      <c r="H96" s="3">
        <v>44238</v>
      </c>
      <c r="I96" s="2" t="s">
        <v>79</v>
      </c>
      <c r="J96" s="2" t="s">
        <v>40</v>
      </c>
      <c r="K96" s="4">
        <v>2021</v>
      </c>
      <c r="L96" s="4">
        <v>1.7050000000000001</v>
      </c>
      <c r="M96" s="4" t="s">
        <v>73</v>
      </c>
      <c r="N96" s="4" t="s">
        <v>165</v>
      </c>
      <c r="O96" s="4">
        <v>51.15</v>
      </c>
      <c r="P96" s="4">
        <v>3.581</v>
      </c>
      <c r="Q96" s="12">
        <v>47.57</v>
      </c>
      <c r="R96" s="4" t="s">
        <v>296</v>
      </c>
      <c r="S96" s="4">
        <v>252.34</v>
      </c>
      <c r="T96" s="4">
        <v>-204.77099999999999</v>
      </c>
    </row>
    <row r="97" spans="1:20" ht="15" thickBot="1" x14ac:dyDescent="0.35">
      <c r="A97" s="2" t="s">
        <v>49</v>
      </c>
      <c r="B97" s="2" t="s">
        <v>50</v>
      </c>
      <c r="C97" s="2" t="s">
        <v>69</v>
      </c>
      <c r="D97" s="2" t="s">
        <v>153</v>
      </c>
      <c r="E97" s="2" t="s">
        <v>71</v>
      </c>
      <c r="F97" s="2" t="s">
        <v>154</v>
      </c>
      <c r="G97" s="2" t="s">
        <v>217</v>
      </c>
      <c r="H97" s="3">
        <v>44321</v>
      </c>
      <c r="I97" s="2" t="s">
        <v>142</v>
      </c>
      <c r="J97" s="2" t="s">
        <v>92</v>
      </c>
      <c r="K97" s="4">
        <v>2021</v>
      </c>
      <c r="L97" s="4">
        <v>706</v>
      </c>
      <c r="M97" s="4" t="s">
        <v>73</v>
      </c>
      <c r="N97" s="4" t="s">
        <v>165</v>
      </c>
      <c r="O97" s="4">
        <v>21.18</v>
      </c>
      <c r="P97" s="4">
        <v>1.4830000000000001</v>
      </c>
      <c r="Q97" s="12">
        <v>19.696999999999999</v>
      </c>
      <c r="R97" s="5">
        <v>34608</v>
      </c>
      <c r="S97" s="4">
        <v>104.488</v>
      </c>
      <c r="T97" s="4">
        <v>-84.790999999999997</v>
      </c>
    </row>
    <row r="98" spans="1:20" ht="15" thickBot="1" x14ac:dyDescent="0.35">
      <c r="A98" s="2" t="s">
        <v>20</v>
      </c>
      <c r="B98" s="2" t="s">
        <v>21</v>
      </c>
      <c r="C98" s="2" t="s">
        <v>120</v>
      </c>
      <c r="D98" s="2" t="s">
        <v>297</v>
      </c>
      <c r="E98" s="2" t="s">
        <v>122</v>
      </c>
      <c r="F98" s="2" t="s">
        <v>298</v>
      </c>
      <c r="G98" s="2" t="s">
        <v>217</v>
      </c>
      <c r="H98" s="3">
        <v>44353</v>
      </c>
      <c r="I98" s="2" t="s">
        <v>205</v>
      </c>
      <c r="J98" s="2" t="s">
        <v>92</v>
      </c>
      <c r="K98" s="4">
        <v>2021</v>
      </c>
      <c r="L98" s="4">
        <v>1.1930000000000001</v>
      </c>
      <c r="M98" s="4" t="s">
        <v>124</v>
      </c>
      <c r="N98" s="4" t="s">
        <v>30</v>
      </c>
      <c r="O98" s="4">
        <v>224.28399999999999</v>
      </c>
      <c r="P98" s="4">
        <v>15.7</v>
      </c>
      <c r="Q98" s="12">
        <v>208.584</v>
      </c>
      <c r="R98" s="4" t="s">
        <v>299</v>
      </c>
      <c r="S98" s="4">
        <v>381.76</v>
      </c>
      <c r="T98" s="4">
        <v>-173.17599999999999</v>
      </c>
    </row>
    <row r="99" spans="1:20" ht="29.4" thickBot="1" x14ac:dyDescent="0.35">
      <c r="A99" s="2" t="s">
        <v>43</v>
      </c>
      <c r="B99" s="2" t="s">
        <v>34</v>
      </c>
      <c r="C99" s="2" t="s">
        <v>22</v>
      </c>
      <c r="D99" s="2" t="s">
        <v>300</v>
      </c>
      <c r="E99" s="2" t="s">
        <v>24</v>
      </c>
      <c r="F99" s="2" t="s">
        <v>301</v>
      </c>
      <c r="G99" s="2" t="s">
        <v>217</v>
      </c>
      <c r="H99" s="3">
        <v>44056</v>
      </c>
      <c r="I99" s="2" t="s">
        <v>53</v>
      </c>
      <c r="J99" s="2" t="s">
        <v>28</v>
      </c>
      <c r="K99" s="4">
        <v>2020</v>
      </c>
      <c r="L99" s="4">
        <v>1.54</v>
      </c>
      <c r="M99" s="4" t="s">
        <v>29</v>
      </c>
      <c r="N99" s="4" t="s">
        <v>47</v>
      </c>
      <c r="O99" s="4">
        <v>693</v>
      </c>
      <c r="P99" s="4">
        <v>55.44</v>
      </c>
      <c r="Q99" s="12">
        <v>637.55999999999995</v>
      </c>
      <c r="R99" s="4" t="s">
        <v>302</v>
      </c>
      <c r="S99" s="4">
        <v>9.24</v>
      </c>
      <c r="T99" s="4">
        <v>628.32000000000005</v>
      </c>
    </row>
    <row r="100" spans="1:20" ht="15" thickBot="1" x14ac:dyDescent="0.35">
      <c r="A100" s="2" t="s">
        <v>49</v>
      </c>
      <c r="B100" s="2" t="s">
        <v>74</v>
      </c>
      <c r="C100" s="2" t="s">
        <v>35</v>
      </c>
      <c r="D100" s="2" t="s">
        <v>293</v>
      </c>
      <c r="E100" s="2" t="s">
        <v>37</v>
      </c>
      <c r="F100" s="2" t="s">
        <v>294</v>
      </c>
      <c r="G100" s="2" t="s">
        <v>217</v>
      </c>
      <c r="H100" s="3">
        <v>44514</v>
      </c>
      <c r="I100" s="2" t="s">
        <v>95</v>
      </c>
      <c r="J100" s="2" t="s">
        <v>96</v>
      </c>
      <c r="K100" s="4">
        <v>2021</v>
      </c>
      <c r="L100" s="4">
        <v>2.891</v>
      </c>
      <c r="M100" s="4" t="s">
        <v>41</v>
      </c>
      <c r="N100" s="4" t="s">
        <v>116</v>
      </c>
      <c r="O100" s="4">
        <v>31.800999999999998</v>
      </c>
      <c r="P100" s="4">
        <v>2.544</v>
      </c>
      <c r="Q100" s="12">
        <v>29.257000000000001</v>
      </c>
      <c r="R100" s="4" t="s">
        <v>303</v>
      </c>
      <c r="S100" s="4">
        <v>34.692</v>
      </c>
      <c r="T100" s="4">
        <v>-5.4349999999999996</v>
      </c>
    </row>
    <row r="101" spans="1:20" ht="15" thickBot="1" x14ac:dyDescent="0.35">
      <c r="A101" s="2" t="s">
        <v>49</v>
      </c>
      <c r="B101" s="2" t="s">
        <v>74</v>
      </c>
      <c r="C101" s="2" t="s">
        <v>35</v>
      </c>
      <c r="D101" s="2" t="s">
        <v>293</v>
      </c>
      <c r="E101" s="2" t="s">
        <v>37</v>
      </c>
      <c r="F101" s="2" t="s">
        <v>294</v>
      </c>
      <c r="G101" s="2" t="s">
        <v>217</v>
      </c>
      <c r="H101" s="3">
        <v>44125</v>
      </c>
      <c r="I101" s="2" t="s">
        <v>115</v>
      </c>
      <c r="J101" s="2" t="s">
        <v>96</v>
      </c>
      <c r="K101" s="4">
        <v>2020</v>
      </c>
      <c r="L101" s="4">
        <v>2.5750000000000002</v>
      </c>
      <c r="M101" s="4" t="s">
        <v>41</v>
      </c>
      <c r="N101" s="4" t="s">
        <v>54</v>
      </c>
      <c r="O101" s="4" t="s">
        <v>304</v>
      </c>
      <c r="P101" s="4">
        <v>108.15</v>
      </c>
      <c r="Q101" s="12" t="s">
        <v>305</v>
      </c>
      <c r="R101" s="4" t="s">
        <v>306</v>
      </c>
      <c r="S101" s="4">
        <v>30.9</v>
      </c>
      <c r="T101" s="4" t="s">
        <v>307</v>
      </c>
    </row>
    <row r="102" spans="1:20" ht="15" thickBot="1" x14ac:dyDescent="0.35">
      <c r="A102" s="2" t="s">
        <v>49</v>
      </c>
      <c r="B102" s="2" t="s">
        <v>74</v>
      </c>
      <c r="C102" s="2" t="s">
        <v>35</v>
      </c>
      <c r="D102" s="2" t="s">
        <v>191</v>
      </c>
      <c r="E102" s="2" t="s">
        <v>37</v>
      </c>
      <c r="F102" s="2" t="s">
        <v>192</v>
      </c>
      <c r="G102" s="2" t="s">
        <v>217</v>
      </c>
      <c r="H102" s="3">
        <v>43877</v>
      </c>
      <c r="I102" s="2" t="s">
        <v>79</v>
      </c>
      <c r="J102" s="2" t="s">
        <v>40</v>
      </c>
      <c r="K102" s="4">
        <v>2020</v>
      </c>
      <c r="L102" s="4">
        <v>2.335</v>
      </c>
      <c r="M102" s="4" t="s">
        <v>41</v>
      </c>
      <c r="N102" s="4" t="s">
        <v>116</v>
      </c>
      <c r="O102" s="4">
        <v>25.684999999999999</v>
      </c>
      <c r="P102" s="4">
        <v>2.0550000000000002</v>
      </c>
      <c r="Q102" s="12">
        <v>23.63</v>
      </c>
      <c r="R102" s="5">
        <v>19694</v>
      </c>
      <c r="S102" s="4">
        <v>28.02</v>
      </c>
      <c r="T102" s="4">
        <v>-4.3899999999999997</v>
      </c>
    </row>
    <row r="103" spans="1:20" ht="29.4" thickBot="1" x14ac:dyDescent="0.35">
      <c r="A103" s="2" t="s">
        <v>43</v>
      </c>
      <c r="B103" s="2" t="s">
        <v>59</v>
      </c>
      <c r="C103" s="2" t="s">
        <v>69</v>
      </c>
      <c r="D103" s="2" t="s">
        <v>257</v>
      </c>
      <c r="E103" s="2" t="s">
        <v>71</v>
      </c>
      <c r="F103" s="2" t="s">
        <v>258</v>
      </c>
      <c r="G103" s="2" t="s">
        <v>217</v>
      </c>
      <c r="H103" s="3">
        <v>44512</v>
      </c>
      <c r="I103" s="2" t="s">
        <v>95</v>
      </c>
      <c r="J103" s="2" t="s">
        <v>96</v>
      </c>
      <c r="K103" s="4">
        <v>2021</v>
      </c>
      <c r="L103" s="4">
        <v>463</v>
      </c>
      <c r="M103" s="4" t="s">
        <v>73</v>
      </c>
      <c r="N103" s="4" t="s">
        <v>47</v>
      </c>
      <c r="O103" s="4">
        <v>208.35</v>
      </c>
      <c r="P103" s="4">
        <v>16.667999999999999</v>
      </c>
      <c r="Q103" s="12">
        <v>191.68199999999999</v>
      </c>
      <c r="R103" s="4" t="s">
        <v>308</v>
      </c>
      <c r="S103" s="4">
        <v>68.524000000000001</v>
      </c>
      <c r="T103" s="4">
        <v>123.158</v>
      </c>
    </row>
    <row r="104" spans="1:20" ht="29.4" thickBot="1" x14ac:dyDescent="0.35">
      <c r="A104" s="2" t="s">
        <v>43</v>
      </c>
      <c r="B104" s="2" t="s">
        <v>44</v>
      </c>
      <c r="C104" s="2" t="s">
        <v>75</v>
      </c>
      <c r="D104" s="2" t="s">
        <v>309</v>
      </c>
      <c r="E104" s="2" t="s">
        <v>77</v>
      </c>
      <c r="F104" s="2" t="s">
        <v>310</v>
      </c>
      <c r="G104" s="2" t="s">
        <v>217</v>
      </c>
      <c r="H104" s="3">
        <v>44377</v>
      </c>
      <c r="I104" s="2" t="s">
        <v>205</v>
      </c>
      <c r="J104" s="2" t="s">
        <v>92</v>
      </c>
      <c r="K104" s="4">
        <v>2021</v>
      </c>
      <c r="L104" s="4">
        <v>970</v>
      </c>
      <c r="M104" s="4" t="s">
        <v>80</v>
      </c>
      <c r="N104" s="4" t="s">
        <v>47</v>
      </c>
      <c r="O104" s="4">
        <v>436.5</v>
      </c>
      <c r="P104" s="4">
        <v>34.92</v>
      </c>
      <c r="Q104" s="12">
        <v>401.58</v>
      </c>
      <c r="R104" s="4" t="s">
        <v>311</v>
      </c>
      <c r="S104" s="4">
        <v>298.76</v>
      </c>
      <c r="T104" s="4">
        <v>102.82</v>
      </c>
    </row>
    <row r="105" spans="1:20" ht="29.4" thickBot="1" x14ac:dyDescent="0.35">
      <c r="A105" s="2" t="s">
        <v>58</v>
      </c>
      <c r="B105" s="2" t="s">
        <v>50</v>
      </c>
      <c r="C105" s="2" t="s">
        <v>120</v>
      </c>
      <c r="D105" s="2" t="s">
        <v>312</v>
      </c>
      <c r="E105" s="2" t="s">
        <v>122</v>
      </c>
      <c r="F105" s="2" t="s">
        <v>313</v>
      </c>
      <c r="G105" s="2" t="s">
        <v>217</v>
      </c>
      <c r="H105" s="3">
        <v>44476</v>
      </c>
      <c r="I105" s="2" t="s">
        <v>115</v>
      </c>
      <c r="J105" s="2" t="s">
        <v>96</v>
      </c>
      <c r="K105" s="4">
        <v>2021</v>
      </c>
      <c r="L105" s="4">
        <v>1.65</v>
      </c>
      <c r="M105" s="4" t="s">
        <v>124</v>
      </c>
      <c r="N105" s="4" t="s">
        <v>63</v>
      </c>
      <c r="O105" s="4">
        <v>29.7</v>
      </c>
      <c r="P105" s="4">
        <v>2.3759999999999999</v>
      </c>
      <c r="Q105" s="12">
        <v>27.324000000000002</v>
      </c>
      <c r="R105" s="4" t="s">
        <v>314</v>
      </c>
      <c r="S105" s="4">
        <v>528</v>
      </c>
      <c r="T105" s="4">
        <v>-500.67599999999999</v>
      </c>
    </row>
    <row r="106" spans="1:20" ht="29.4" thickBot="1" x14ac:dyDescent="0.35">
      <c r="A106" s="2" t="s">
        <v>58</v>
      </c>
      <c r="B106" s="2" t="s">
        <v>59</v>
      </c>
      <c r="C106" s="2" t="s">
        <v>82</v>
      </c>
      <c r="D106" s="2" t="s">
        <v>315</v>
      </c>
      <c r="E106" s="2" t="s">
        <v>84</v>
      </c>
      <c r="F106" s="2" t="s">
        <v>316</v>
      </c>
      <c r="G106" s="2" t="s">
        <v>217</v>
      </c>
      <c r="H106" s="3">
        <v>44244</v>
      </c>
      <c r="I106" s="2" t="s">
        <v>79</v>
      </c>
      <c r="J106" s="2" t="s">
        <v>40</v>
      </c>
      <c r="K106" s="4">
        <v>2021</v>
      </c>
      <c r="L106" s="4">
        <v>440</v>
      </c>
      <c r="M106" s="4" t="s">
        <v>87</v>
      </c>
      <c r="N106" s="4" t="s">
        <v>63</v>
      </c>
      <c r="O106" s="4">
        <v>7.92</v>
      </c>
      <c r="P106" s="4">
        <v>713</v>
      </c>
      <c r="Q106" s="12">
        <v>7.2069999999999999</v>
      </c>
      <c r="R106" s="6">
        <v>45661</v>
      </c>
      <c r="S106" s="4">
        <v>1.76</v>
      </c>
      <c r="T106" s="4">
        <v>5.4470000000000001</v>
      </c>
    </row>
    <row r="107" spans="1:20" ht="29.4" thickBot="1" x14ac:dyDescent="0.35">
      <c r="A107" s="2" t="s">
        <v>43</v>
      </c>
      <c r="B107" s="2" t="s">
        <v>64</v>
      </c>
      <c r="C107" s="2" t="s">
        <v>22</v>
      </c>
      <c r="D107" s="2" t="s">
        <v>317</v>
      </c>
      <c r="E107" s="2" t="s">
        <v>24</v>
      </c>
      <c r="F107" s="2" t="s">
        <v>318</v>
      </c>
      <c r="G107" s="2" t="s">
        <v>217</v>
      </c>
      <c r="H107" s="3">
        <v>43996</v>
      </c>
      <c r="I107" s="2" t="s">
        <v>205</v>
      </c>
      <c r="J107" s="2" t="s">
        <v>92</v>
      </c>
      <c r="K107" s="4">
        <v>2020</v>
      </c>
      <c r="L107" s="4">
        <v>386</v>
      </c>
      <c r="M107" s="4" t="s">
        <v>29</v>
      </c>
      <c r="N107" s="4" t="s">
        <v>47</v>
      </c>
      <c r="O107" s="4">
        <v>173.7</v>
      </c>
      <c r="P107" s="4">
        <v>15.632999999999999</v>
      </c>
      <c r="Q107" s="12">
        <v>158.06700000000001</v>
      </c>
      <c r="R107" s="4" t="s">
        <v>319</v>
      </c>
      <c r="S107" s="4">
        <v>2.3159999999999998</v>
      </c>
      <c r="T107" s="4">
        <v>155.751</v>
      </c>
    </row>
    <row r="108" spans="1:20" ht="15" thickBot="1" x14ac:dyDescent="0.35">
      <c r="A108" s="2" t="s">
        <v>20</v>
      </c>
      <c r="B108" s="2" t="s">
        <v>68</v>
      </c>
      <c r="C108" s="2" t="s">
        <v>22</v>
      </c>
      <c r="D108" s="2" t="s">
        <v>320</v>
      </c>
      <c r="E108" s="2" t="s">
        <v>24</v>
      </c>
      <c r="F108" s="2" t="s">
        <v>243</v>
      </c>
      <c r="G108" s="2" t="s">
        <v>217</v>
      </c>
      <c r="H108" s="3">
        <v>44315</v>
      </c>
      <c r="I108" s="2" t="s">
        <v>91</v>
      </c>
      <c r="J108" s="2" t="s">
        <v>92</v>
      </c>
      <c r="K108" s="4">
        <v>2021</v>
      </c>
      <c r="L108" s="4">
        <v>2.2280000000000002</v>
      </c>
      <c r="M108" s="4" t="s">
        <v>29</v>
      </c>
      <c r="N108" s="4" t="s">
        <v>30</v>
      </c>
      <c r="O108" s="4">
        <v>418.86399999999998</v>
      </c>
      <c r="P108" s="4">
        <v>37.698</v>
      </c>
      <c r="Q108" s="12">
        <v>381.166</v>
      </c>
      <c r="R108" s="4" t="s">
        <v>321</v>
      </c>
      <c r="S108" s="4">
        <v>13.368</v>
      </c>
      <c r="T108" s="4">
        <v>367.798</v>
      </c>
    </row>
    <row r="109" spans="1:20" ht="15" thickBot="1" x14ac:dyDescent="0.35">
      <c r="A109" s="2" t="s">
        <v>49</v>
      </c>
      <c r="B109" s="2" t="s">
        <v>44</v>
      </c>
      <c r="C109" s="2" t="s">
        <v>22</v>
      </c>
      <c r="D109" s="2" t="s">
        <v>200</v>
      </c>
      <c r="E109" s="2" t="s">
        <v>24</v>
      </c>
      <c r="F109" s="2" t="s">
        <v>201</v>
      </c>
      <c r="G109" s="2" t="s">
        <v>217</v>
      </c>
      <c r="H109" s="3">
        <v>44530</v>
      </c>
      <c r="I109" s="2" t="s">
        <v>95</v>
      </c>
      <c r="J109" s="2" t="s">
        <v>96</v>
      </c>
      <c r="K109" s="4">
        <v>2021</v>
      </c>
      <c r="L109" s="4">
        <v>1.9330000000000001</v>
      </c>
      <c r="M109" s="4" t="s">
        <v>29</v>
      </c>
      <c r="N109" s="4" t="s">
        <v>116</v>
      </c>
      <c r="O109" s="4">
        <v>21.263000000000002</v>
      </c>
      <c r="P109" s="4">
        <v>1.9139999999999999</v>
      </c>
      <c r="Q109" s="12">
        <v>19.349</v>
      </c>
      <c r="R109" s="5">
        <v>46296</v>
      </c>
      <c r="S109" s="4">
        <v>11.598000000000001</v>
      </c>
      <c r="T109" s="4">
        <v>7.7510000000000003</v>
      </c>
    </row>
    <row r="110" spans="1:20" ht="29.4" thickBot="1" x14ac:dyDescent="0.35">
      <c r="A110" s="2" t="s">
        <v>43</v>
      </c>
      <c r="B110" s="2" t="s">
        <v>74</v>
      </c>
      <c r="C110" s="2" t="s">
        <v>22</v>
      </c>
      <c r="D110" s="2" t="s">
        <v>322</v>
      </c>
      <c r="E110" s="2" t="s">
        <v>24</v>
      </c>
      <c r="F110" s="2" t="s">
        <v>282</v>
      </c>
      <c r="G110" s="2" t="s">
        <v>217</v>
      </c>
      <c r="H110" s="3">
        <v>44274</v>
      </c>
      <c r="I110" s="2" t="s">
        <v>112</v>
      </c>
      <c r="J110" s="2" t="s">
        <v>40</v>
      </c>
      <c r="K110" s="4">
        <v>2021</v>
      </c>
      <c r="L110" s="4">
        <v>401</v>
      </c>
      <c r="M110" s="4" t="s">
        <v>29</v>
      </c>
      <c r="N110" s="4" t="s">
        <v>47</v>
      </c>
      <c r="O110" s="4">
        <v>180.45</v>
      </c>
      <c r="P110" s="4">
        <v>16.241</v>
      </c>
      <c r="Q110" s="12">
        <v>164.21</v>
      </c>
      <c r="R110" s="4" t="s">
        <v>323</v>
      </c>
      <c r="S110" s="4">
        <v>2.4060000000000001</v>
      </c>
      <c r="T110" s="4">
        <v>161.804</v>
      </c>
    </row>
    <row r="111" spans="1:20" ht="29.4" thickBot="1" x14ac:dyDescent="0.35">
      <c r="A111" s="2" t="s">
        <v>58</v>
      </c>
      <c r="B111" s="2" t="s">
        <v>68</v>
      </c>
      <c r="C111" s="2" t="s">
        <v>35</v>
      </c>
      <c r="D111" s="2" t="s">
        <v>290</v>
      </c>
      <c r="E111" s="2" t="s">
        <v>37</v>
      </c>
      <c r="F111" s="2" t="s">
        <v>291</v>
      </c>
      <c r="G111" s="2" t="s">
        <v>217</v>
      </c>
      <c r="H111" s="3">
        <v>44372</v>
      </c>
      <c r="I111" s="2" t="s">
        <v>205</v>
      </c>
      <c r="J111" s="2" t="s">
        <v>92</v>
      </c>
      <c r="K111" s="4">
        <v>2021</v>
      </c>
      <c r="L111" s="4">
        <v>440</v>
      </c>
      <c r="M111" s="4" t="s">
        <v>41</v>
      </c>
      <c r="N111" s="4" t="s">
        <v>63</v>
      </c>
      <c r="O111" s="4">
        <v>7.92</v>
      </c>
      <c r="P111" s="4">
        <v>713</v>
      </c>
      <c r="Q111" s="12">
        <v>7.2069999999999999</v>
      </c>
      <c r="R111" s="6">
        <v>45661</v>
      </c>
      <c r="S111" s="4">
        <v>5.28</v>
      </c>
      <c r="T111" s="4">
        <v>1.927</v>
      </c>
    </row>
    <row r="112" spans="1:20" ht="29.4" thickBot="1" x14ac:dyDescent="0.35">
      <c r="A112" s="2" t="s">
        <v>58</v>
      </c>
      <c r="B112" s="2" t="s">
        <v>64</v>
      </c>
      <c r="C112" s="2" t="s">
        <v>35</v>
      </c>
      <c r="D112" s="2" t="s">
        <v>108</v>
      </c>
      <c r="E112" s="2" t="s">
        <v>37</v>
      </c>
      <c r="F112" s="2" t="s">
        <v>109</v>
      </c>
      <c r="G112" s="2" t="s">
        <v>217</v>
      </c>
      <c r="H112" s="3">
        <v>44264</v>
      </c>
      <c r="I112" s="2" t="s">
        <v>112</v>
      </c>
      <c r="J112" s="2" t="s">
        <v>40</v>
      </c>
      <c r="K112" s="4">
        <v>2021</v>
      </c>
      <c r="L112" s="4">
        <v>2.13</v>
      </c>
      <c r="M112" s="4" t="s">
        <v>41</v>
      </c>
      <c r="N112" s="4" t="s">
        <v>63</v>
      </c>
      <c r="O112" s="4">
        <v>38.340000000000003</v>
      </c>
      <c r="P112" s="4">
        <v>3.4510000000000001</v>
      </c>
      <c r="Q112" s="12">
        <v>34.889000000000003</v>
      </c>
      <c r="R112" s="4" t="s">
        <v>324</v>
      </c>
      <c r="S112" s="4">
        <v>25.56</v>
      </c>
      <c r="T112" s="4">
        <v>9.3290000000000006</v>
      </c>
    </row>
    <row r="113" spans="1:20" ht="29.4" thickBot="1" x14ac:dyDescent="0.35">
      <c r="A113" s="2" t="s">
        <v>58</v>
      </c>
      <c r="B113" s="2" t="s">
        <v>21</v>
      </c>
      <c r="C113" s="2" t="s">
        <v>75</v>
      </c>
      <c r="D113" s="2" t="s">
        <v>325</v>
      </c>
      <c r="E113" s="2" t="s">
        <v>77</v>
      </c>
      <c r="F113" s="2" t="s">
        <v>326</v>
      </c>
      <c r="G113" s="2" t="s">
        <v>217</v>
      </c>
      <c r="H113" s="3">
        <v>44023</v>
      </c>
      <c r="I113" s="2" t="s">
        <v>62</v>
      </c>
      <c r="J113" s="2" t="s">
        <v>28</v>
      </c>
      <c r="K113" s="4">
        <v>2020</v>
      </c>
      <c r="L113" s="4">
        <v>2.681</v>
      </c>
      <c r="M113" s="4" t="s">
        <v>80</v>
      </c>
      <c r="N113" s="4" t="s">
        <v>63</v>
      </c>
      <c r="O113" s="4">
        <v>48.258000000000003</v>
      </c>
      <c r="P113" s="4">
        <v>4.343</v>
      </c>
      <c r="Q113" s="12">
        <v>43.914999999999999</v>
      </c>
      <c r="R113" s="4" t="s">
        <v>327</v>
      </c>
      <c r="S113" s="4">
        <v>825.74800000000005</v>
      </c>
      <c r="T113" s="4">
        <v>-781.83299999999997</v>
      </c>
    </row>
    <row r="114" spans="1:20" ht="15" thickBot="1" x14ac:dyDescent="0.35">
      <c r="A114" s="2" t="s">
        <v>33</v>
      </c>
      <c r="B114" s="2" t="s">
        <v>34</v>
      </c>
      <c r="C114" s="2" t="s">
        <v>120</v>
      </c>
      <c r="D114" s="2" t="s">
        <v>328</v>
      </c>
      <c r="E114" s="2" t="s">
        <v>122</v>
      </c>
      <c r="F114" s="2" t="s">
        <v>329</v>
      </c>
      <c r="G114" s="2" t="s">
        <v>217</v>
      </c>
      <c r="H114" s="3">
        <v>44424</v>
      </c>
      <c r="I114" s="2" t="s">
        <v>53</v>
      </c>
      <c r="J114" s="2" t="s">
        <v>28</v>
      </c>
      <c r="K114" s="4">
        <v>2021</v>
      </c>
      <c r="L114" s="4">
        <v>1.1639999999999999</v>
      </c>
      <c r="M114" s="4" t="s">
        <v>124</v>
      </c>
      <c r="N114" s="4" t="s">
        <v>42</v>
      </c>
      <c r="O114" s="4">
        <v>26.771999999999998</v>
      </c>
      <c r="P114" s="4">
        <v>2.4089999999999998</v>
      </c>
      <c r="Q114" s="12">
        <v>24.363</v>
      </c>
      <c r="R114" s="4" t="s">
        <v>330</v>
      </c>
      <c r="S114" s="4">
        <v>372.48</v>
      </c>
      <c r="T114" s="4">
        <v>-348.11700000000002</v>
      </c>
    </row>
    <row r="115" spans="1:20" ht="15" thickBot="1" x14ac:dyDescent="0.35">
      <c r="A115" s="2" t="s">
        <v>49</v>
      </c>
      <c r="B115" s="2" t="s">
        <v>74</v>
      </c>
      <c r="C115" s="2" t="s">
        <v>75</v>
      </c>
      <c r="D115" s="2" t="s">
        <v>76</v>
      </c>
      <c r="E115" s="2" t="s">
        <v>77</v>
      </c>
      <c r="F115" s="2" t="s">
        <v>78</v>
      </c>
      <c r="G115" s="2" t="s">
        <v>217</v>
      </c>
      <c r="H115" s="3">
        <v>44216</v>
      </c>
      <c r="I115" s="2" t="s">
        <v>39</v>
      </c>
      <c r="J115" s="2" t="s">
        <v>40</v>
      </c>
      <c r="K115" s="4">
        <v>2021</v>
      </c>
      <c r="L115" s="4">
        <v>3.218</v>
      </c>
      <c r="M115" s="4" t="s">
        <v>80</v>
      </c>
      <c r="N115" s="4" t="s">
        <v>165</v>
      </c>
      <c r="O115" s="4">
        <v>96.54</v>
      </c>
      <c r="P115" s="4">
        <v>8.6890000000000001</v>
      </c>
      <c r="Q115" s="12">
        <v>87.850999999999999</v>
      </c>
      <c r="R115" s="4" t="s">
        <v>331</v>
      </c>
      <c r="S115" s="4">
        <v>991.14400000000001</v>
      </c>
      <c r="T115" s="4">
        <v>-903.29300000000001</v>
      </c>
    </row>
    <row r="116" spans="1:20" ht="29.4" thickBot="1" x14ac:dyDescent="0.35">
      <c r="A116" s="2" t="s">
        <v>58</v>
      </c>
      <c r="B116" s="2" t="s">
        <v>44</v>
      </c>
      <c r="C116" s="2" t="s">
        <v>120</v>
      </c>
      <c r="D116" s="2" t="s">
        <v>332</v>
      </c>
      <c r="E116" s="2" t="s">
        <v>122</v>
      </c>
      <c r="F116" s="2" t="s">
        <v>333</v>
      </c>
      <c r="G116" s="2" t="s">
        <v>217</v>
      </c>
      <c r="H116" s="3">
        <v>44147</v>
      </c>
      <c r="I116" s="2" t="s">
        <v>95</v>
      </c>
      <c r="J116" s="2" t="s">
        <v>96</v>
      </c>
      <c r="K116" s="4">
        <v>2020</v>
      </c>
      <c r="L116" s="4">
        <v>367</v>
      </c>
      <c r="M116" s="4" t="s">
        <v>124</v>
      </c>
      <c r="N116" s="4" t="s">
        <v>63</v>
      </c>
      <c r="O116" s="4">
        <v>6.6059999999999999</v>
      </c>
      <c r="P116" s="4">
        <v>595</v>
      </c>
      <c r="Q116" s="12">
        <v>6.0110000000000001</v>
      </c>
      <c r="R116" s="5">
        <v>12479</v>
      </c>
      <c r="S116" s="4">
        <v>117.44</v>
      </c>
      <c r="T116" s="4">
        <v>-111.429</v>
      </c>
    </row>
    <row r="117" spans="1:20" ht="29.4" thickBot="1" x14ac:dyDescent="0.35">
      <c r="A117" s="2" t="s">
        <v>58</v>
      </c>
      <c r="B117" s="2" t="s">
        <v>50</v>
      </c>
      <c r="C117" s="2" t="s">
        <v>82</v>
      </c>
      <c r="D117" s="2" t="s">
        <v>334</v>
      </c>
      <c r="E117" s="2" t="s">
        <v>84</v>
      </c>
      <c r="F117" s="2" t="s">
        <v>335</v>
      </c>
      <c r="G117" s="2" t="s">
        <v>336</v>
      </c>
      <c r="H117" s="3">
        <v>44429</v>
      </c>
      <c r="I117" s="2" t="s">
        <v>53</v>
      </c>
      <c r="J117" s="2" t="s">
        <v>28</v>
      </c>
      <c r="K117" s="4">
        <v>2021</v>
      </c>
      <c r="L117" s="4">
        <v>463</v>
      </c>
      <c r="M117" s="4" t="s">
        <v>87</v>
      </c>
      <c r="N117" s="4" t="s">
        <v>63</v>
      </c>
      <c r="O117" s="4">
        <v>8.3339999999999996</v>
      </c>
      <c r="P117" s="4">
        <v>833</v>
      </c>
      <c r="Q117" s="12">
        <v>7.5010000000000003</v>
      </c>
      <c r="R117" s="5">
        <v>42826</v>
      </c>
      <c r="S117" s="4">
        <v>1.8520000000000001</v>
      </c>
      <c r="T117" s="4">
        <v>5.649</v>
      </c>
    </row>
    <row r="118" spans="1:20" ht="29.4" thickBot="1" x14ac:dyDescent="0.35">
      <c r="A118" s="2" t="s">
        <v>58</v>
      </c>
      <c r="B118" s="2" t="s">
        <v>59</v>
      </c>
      <c r="C118" s="2" t="s">
        <v>35</v>
      </c>
      <c r="D118" s="2" t="s">
        <v>60</v>
      </c>
      <c r="E118" s="2" t="s">
        <v>37</v>
      </c>
      <c r="F118" s="2" t="s">
        <v>61</v>
      </c>
      <c r="G118" s="2" t="s">
        <v>336</v>
      </c>
      <c r="H118" s="3">
        <v>44209</v>
      </c>
      <c r="I118" s="2" t="s">
        <v>39</v>
      </c>
      <c r="J118" s="2" t="s">
        <v>40</v>
      </c>
      <c r="K118" s="4">
        <v>2021</v>
      </c>
      <c r="L118" s="4">
        <v>463</v>
      </c>
      <c r="M118" s="4" t="s">
        <v>41</v>
      </c>
      <c r="N118" s="4" t="s">
        <v>63</v>
      </c>
      <c r="O118" s="4">
        <v>8.3339999999999996</v>
      </c>
      <c r="P118" s="4">
        <v>833</v>
      </c>
      <c r="Q118" s="12">
        <v>7.5010000000000003</v>
      </c>
      <c r="R118" s="5">
        <v>42826</v>
      </c>
      <c r="S118" s="4">
        <v>5.556</v>
      </c>
      <c r="T118" s="4">
        <v>1.9450000000000001</v>
      </c>
    </row>
    <row r="119" spans="1:20" ht="15" thickBot="1" x14ac:dyDescent="0.35">
      <c r="A119" s="2" t="s">
        <v>20</v>
      </c>
      <c r="B119" s="2" t="s">
        <v>59</v>
      </c>
      <c r="C119" s="2" t="s">
        <v>82</v>
      </c>
      <c r="D119" s="2" t="s">
        <v>337</v>
      </c>
      <c r="E119" s="2" t="s">
        <v>84</v>
      </c>
      <c r="F119" s="2" t="s">
        <v>338</v>
      </c>
      <c r="G119" s="2" t="s">
        <v>336</v>
      </c>
      <c r="H119" s="3">
        <v>44314</v>
      </c>
      <c r="I119" s="2" t="s">
        <v>91</v>
      </c>
      <c r="J119" s="2" t="s">
        <v>92</v>
      </c>
      <c r="K119" s="4">
        <v>2021</v>
      </c>
      <c r="L119" s="4">
        <v>1.778</v>
      </c>
      <c r="M119" s="4" t="s">
        <v>87</v>
      </c>
      <c r="N119" s="4" t="s">
        <v>30</v>
      </c>
      <c r="O119" s="4">
        <v>334.26400000000001</v>
      </c>
      <c r="P119" s="4">
        <v>33.426000000000002</v>
      </c>
      <c r="Q119" s="12">
        <v>300.83800000000002</v>
      </c>
      <c r="R119" s="4" t="s">
        <v>339</v>
      </c>
      <c r="S119" s="4">
        <v>7.1120000000000001</v>
      </c>
      <c r="T119" s="4">
        <v>293.726</v>
      </c>
    </row>
    <row r="120" spans="1:20" ht="15" thickBot="1" x14ac:dyDescent="0.35">
      <c r="A120" s="2" t="s">
        <v>20</v>
      </c>
      <c r="B120" s="2" t="s">
        <v>59</v>
      </c>
      <c r="C120" s="2" t="s">
        <v>22</v>
      </c>
      <c r="D120" s="2" t="s">
        <v>105</v>
      </c>
      <c r="E120" s="2" t="s">
        <v>24</v>
      </c>
      <c r="F120" s="2" t="s">
        <v>106</v>
      </c>
      <c r="G120" s="2" t="s">
        <v>336</v>
      </c>
      <c r="H120" s="3">
        <v>44307</v>
      </c>
      <c r="I120" s="2" t="s">
        <v>91</v>
      </c>
      <c r="J120" s="2" t="s">
        <v>92</v>
      </c>
      <c r="K120" s="4">
        <v>2021</v>
      </c>
      <c r="L120" s="4">
        <v>2.165</v>
      </c>
      <c r="M120" s="4" t="s">
        <v>29</v>
      </c>
      <c r="N120" s="4" t="s">
        <v>30</v>
      </c>
      <c r="O120" s="4">
        <v>407.02</v>
      </c>
      <c r="P120" s="4">
        <v>40.701999999999998</v>
      </c>
      <c r="Q120" s="12">
        <v>366.31799999999998</v>
      </c>
      <c r="R120" s="4" t="s">
        <v>340</v>
      </c>
      <c r="S120" s="4">
        <v>12.99</v>
      </c>
      <c r="T120" s="4">
        <v>353.32799999999997</v>
      </c>
    </row>
    <row r="121" spans="1:20" ht="15" thickBot="1" x14ac:dyDescent="0.35">
      <c r="A121" s="2" t="s">
        <v>33</v>
      </c>
      <c r="B121" s="2" t="s">
        <v>34</v>
      </c>
      <c r="C121" s="2" t="s">
        <v>35</v>
      </c>
      <c r="D121" s="2" t="s">
        <v>36</v>
      </c>
      <c r="E121" s="2" t="s">
        <v>37</v>
      </c>
      <c r="F121" s="2" t="s">
        <v>38</v>
      </c>
      <c r="G121" s="2" t="s">
        <v>336</v>
      </c>
      <c r="H121" s="3">
        <v>44099</v>
      </c>
      <c r="I121" s="2" t="s">
        <v>27</v>
      </c>
      <c r="J121" s="2" t="s">
        <v>28</v>
      </c>
      <c r="K121" s="4">
        <v>2020</v>
      </c>
      <c r="L121" s="4">
        <v>2.6</v>
      </c>
      <c r="M121" s="4" t="s">
        <v>41</v>
      </c>
      <c r="N121" s="4" t="s">
        <v>42</v>
      </c>
      <c r="O121" s="4">
        <v>59.8</v>
      </c>
      <c r="P121" s="4">
        <v>5.98</v>
      </c>
      <c r="Q121" s="12">
        <v>53.82</v>
      </c>
      <c r="R121" s="4" t="s">
        <v>341</v>
      </c>
      <c r="S121" s="4">
        <v>31.2</v>
      </c>
      <c r="T121" s="4">
        <v>22.62</v>
      </c>
    </row>
    <row r="122" spans="1:20" ht="29.4" thickBot="1" x14ac:dyDescent="0.35">
      <c r="A122" s="2" t="s">
        <v>43</v>
      </c>
      <c r="B122" s="2" t="s">
        <v>64</v>
      </c>
      <c r="C122" s="2" t="s">
        <v>69</v>
      </c>
      <c r="D122" s="2" t="s">
        <v>342</v>
      </c>
      <c r="E122" s="2" t="s">
        <v>71</v>
      </c>
      <c r="F122" s="2" t="s">
        <v>225</v>
      </c>
      <c r="G122" s="2" t="s">
        <v>336</v>
      </c>
      <c r="H122" s="3">
        <v>44297</v>
      </c>
      <c r="I122" s="2" t="s">
        <v>91</v>
      </c>
      <c r="J122" s="2" t="s">
        <v>92</v>
      </c>
      <c r="K122" s="4">
        <v>2021</v>
      </c>
      <c r="L122" s="4">
        <v>2.7530000000000001</v>
      </c>
      <c r="M122" s="4" t="s">
        <v>73</v>
      </c>
      <c r="N122" s="4" t="s">
        <v>47</v>
      </c>
      <c r="O122" s="4" t="s">
        <v>343</v>
      </c>
      <c r="P122" s="4">
        <v>123.88500000000001</v>
      </c>
      <c r="Q122" s="12" t="s">
        <v>344</v>
      </c>
      <c r="R122" s="4" t="s">
        <v>345</v>
      </c>
      <c r="S122" s="4">
        <v>407.44400000000002</v>
      </c>
      <c r="T122" s="4">
        <v>707.52099999999996</v>
      </c>
    </row>
    <row r="123" spans="1:20" ht="15" thickBot="1" x14ac:dyDescent="0.35">
      <c r="A123" s="2" t="s">
        <v>20</v>
      </c>
      <c r="B123" s="2" t="s">
        <v>68</v>
      </c>
      <c r="C123" s="2" t="s">
        <v>69</v>
      </c>
      <c r="D123" s="2" t="s">
        <v>70</v>
      </c>
      <c r="E123" s="2" t="s">
        <v>71</v>
      </c>
      <c r="F123" s="2" t="s">
        <v>72</v>
      </c>
      <c r="G123" s="2" t="s">
        <v>336</v>
      </c>
      <c r="H123" s="3">
        <v>43869</v>
      </c>
      <c r="I123" s="2" t="s">
        <v>79</v>
      </c>
      <c r="J123" s="2" t="s">
        <v>40</v>
      </c>
      <c r="K123" s="4">
        <v>2020</v>
      </c>
      <c r="L123" s="4">
        <v>2.2989999999999999</v>
      </c>
      <c r="M123" s="4" t="s">
        <v>73</v>
      </c>
      <c r="N123" s="4" t="s">
        <v>30</v>
      </c>
      <c r="O123" s="4">
        <v>432.21199999999999</v>
      </c>
      <c r="P123" s="4">
        <v>43.220999999999997</v>
      </c>
      <c r="Q123" s="12">
        <v>388.99099999999999</v>
      </c>
      <c r="R123" s="4" t="s">
        <v>346</v>
      </c>
      <c r="S123" s="4">
        <v>340.25200000000001</v>
      </c>
      <c r="T123" s="4">
        <v>48.738999999999997</v>
      </c>
    </row>
    <row r="124" spans="1:20" ht="29.4" thickBot="1" x14ac:dyDescent="0.35">
      <c r="A124" s="2" t="s">
        <v>43</v>
      </c>
      <c r="B124" s="2" t="s">
        <v>44</v>
      </c>
      <c r="C124" s="2" t="s">
        <v>75</v>
      </c>
      <c r="D124" s="2" t="s">
        <v>309</v>
      </c>
      <c r="E124" s="2" t="s">
        <v>77</v>
      </c>
      <c r="F124" s="2" t="s">
        <v>310</v>
      </c>
      <c r="G124" s="2" t="s">
        <v>336</v>
      </c>
      <c r="H124" s="3">
        <v>44365</v>
      </c>
      <c r="I124" s="2" t="s">
        <v>205</v>
      </c>
      <c r="J124" s="2" t="s">
        <v>92</v>
      </c>
      <c r="K124" s="4">
        <v>2021</v>
      </c>
      <c r="L124" s="4">
        <v>2.7530000000000001</v>
      </c>
      <c r="M124" s="4" t="s">
        <v>80</v>
      </c>
      <c r="N124" s="4" t="s">
        <v>47</v>
      </c>
      <c r="O124" s="4" t="s">
        <v>343</v>
      </c>
      <c r="P124" s="4">
        <v>123.88500000000001</v>
      </c>
      <c r="Q124" s="12" t="s">
        <v>344</v>
      </c>
      <c r="R124" s="4" t="s">
        <v>345</v>
      </c>
      <c r="S124" s="4">
        <v>847.92399999999998</v>
      </c>
      <c r="T124" s="4">
        <v>267.041</v>
      </c>
    </row>
    <row r="125" spans="1:20" ht="15" thickBot="1" x14ac:dyDescent="0.35">
      <c r="A125" s="2" t="s">
        <v>33</v>
      </c>
      <c r="B125" s="2" t="s">
        <v>68</v>
      </c>
      <c r="C125" s="2" t="s">
        <v>75</v>
      </c>
      <c r="D125" s="2" t="s">
        <v>347</v>
      </c>
      <c r="E125" s="2" t="s">
        <v>77</v>
      </c>
      <c r="F125" s="2" t="s">
        <v>230</v>
      </c>
      <c r="G125" s="2" t="s">
        <v>336</v>
      </c>
      <c r="H125" s="3">
        <v>44419</v>
      </c>
      <c r="I125" s="2" t="s">
        <v>53</v>
      </c>
      <c r="J125" s="2" t="s">
        <v>28</v>
      </c>
      <c r="K125" s="4">
        <v>2021</v>
      </c>
      <c r="L125" s="4">
        <v>2.6</v>
      </c>
      <c r="M125" s="4" t="s">
        <v>80</v>
      </c>
      <c r="N125" s="4" t="s">
        <v>42</v>
      </c>
      <c r="O125" s="4">
        <v>59.8</v>
      </c>
      <c r="P125" s="4">
        <v>5.98</v>
      </c>
      <c r="Q125" s="12">
        <v>53.82</v>
      </c>
      <c r="R125" s="4" t="s">
        <v>341</v>
      </c>
      <c r="S125" s="4">
        <v>800.8</v>
      </c>
      <c r="T125" s="4">
        <v>-746.98</v>
      </c>
    </row>
    <row r="126" spans="1:20" ht="15" thickBot="1" x14ac:dyDescent="0.35">
      <c r="A126" s="2" t="s">
        <v>49</v>
      </c>
      <c r="B126" s="2" t="s">
        <v>74</v>
      </c>
      <c r="C126" s="2" t="s">
        <v>75</v>
      </c>
      <c r="D126" s="2" t="s">
        <v>244</v>
      </c>
      <c r="E126" s="2" t="s">
        <v>77</v>
      </c>
      <c r="F126" s="2" t="s">
        <v>245</v>
      </c>
      <c r="G126" s="2" t="s">
        <v>336</v>
      </c>
      <c r="H126" s="3">
        <v>44400</v>
      </c>
      <c r="I126" s="2" t="s">
        <v>62</v>
      </c>
      <c r="J126" s="2" t="s">
        <v>28</v>
      </c>
      <c r="K126" s="4">
        <v>2021</v>
      </c>
      <c r="L126" s="4">
        <v>2.2440000000000002</v>
      </c>
      <c r="M126" s="4" t="s">
        <v>80</v>
      </c>
      <c r="N126" s="4" t="s">
        <v>54</v>
      </c>
      <c r="O126" s="4" t="s">
        <v>348</v>
      </c>
      <c r="P126" s="4">
        <v>117.81</v>
      </c>
      <c r="Q126" s="12" t="s">
        <v>349</v>
      </c>
      <c r="R126" s="4" t="s">
        <v>350</v>
      </c>
      <c r="S126" s="4">
        <v>691.15200000000004</v>
      </c>
      <c r="T126" s="4">
        <v>369.13799999999998</v>
      </c>
    </row>
    <row r="127" spans="1:20" ht="29.4" thickBot="1" x14ac:dyDescent="0.35">
      <c r="A127" s="2" t="s">
        <v>58</v>
      </c>
      <c r="B127" s="2" t="s">
        <v>74</v>
      </c>
      <c r="C127" s="2" t="s">
        <v>82</v>
      </c>
      <c r="D127" s="2" t="s">
        <v>351</v>
      </c>
      <c r="E127" s="2" t="s">
        <v>84</v>
      </c>
      <c r="F127" s="2" t="s">
        <v>352</v>
      </c>
      <c r="G127" s="2" t="s">
        <v>336</v>
      </c>
      <c r="H127" s="3">
        <v>44307</v>
      </c>
      <c r="I127" s="2" t="s">
        <v>91</v>
      </c>
      <c r="J127" s="2" t="s">
        <v>92</v>
      </c>
      <c r="K127" s="4">
        <v>2021</v>
      </c>
      <c r="L127" s="4">
        <v>1.4379999999999999</v>
      </c>
      <c r="M127" s="4" t="s">
        <v>87</v>
      </c>
      <c r="N127" s="4" t="s">
        <v>63</v>
      </c>
      <c r="O127" s="4">
        <v>25.884</v>
      </c>
      <c r="P127" s="4">
        <v>2.847</v>
      </c>
      <c r="Q127" s="12">
        <v>23.036999999999999</v>
      </c>
      <c r="R127" s="5">
        <v>29190</v>
      </c>
      <c r="S127" s="4">
        <v>5.7519999999999998</v>
      </c>
      <c r="T127" s="4">
        <v>17.285</v>
      </c>
    </row>
    <row r="128" spans="1:20" ht="29.4" thickBot="1" x14ac:dyDescent="0.35">
      <c r="A128" s="2" t="s">
        <v>58</v>
      </c>
      <c r="B128" s="2" t="s">
        <v>21</v>
      </c>
      <c r="C128" s="2" t="s">
        <v>35</v>
      </c>
      <c r="D128" s="2" t="s">
        <v>144</v>
      </c>
      <c r="E128" s="2" t="s">
        <v>37</v>
      </c>
      <c r="F128" s="2" t="s">
        <v>145</v>
      </c>
      <c r="G128" s="2" t="s">
        <v>336</v>
      </c>
      <c r="H128" s="3">
        <v>44312</v>
      </c>
      <c r="I128" s="2" t="s">
        <v>91</v>
      </c>
      <c r="J128" s="2" t="s">
        <v>92</v>
      </c>
      <c r="K128" s="4">
        <v>2021</v>
      </c>
      <c r="L128" s="4">
        <v>1.4379999999999999</v>
      </c>
      <c r="M128" s="4" t="s">
        <v>41</v>
      </c>
      <c r="N128" s="4" t="s">
        <v>63</v>
      </c>
      <c r="O128" s="4">
        <v>25.884</v>
      </c>
      <c r="P128" s="4">
        <v>2.847</v>
      </c>
      <c r="Q128" s="12">
        <v>23.036999999999999</v>
      </c>
      <c r="R128" s="5">
        <v>29190</v>
      </c>
      <c r="S128" s="4">
        <v>17.256</v>
      </c>
      <c r="T128" s="4">
        <v>5.7809999999999997</v>
      </c>
    </row>
    <row r="129" spans="1:20" ht="29.4" thickBot="1" x14ac:dyDescent="0.35">
      <c r="A129" s="2" t="s">
        <v>58</v>
      </c>
      <c r="B129" s="2" t="s">
        <v>21</v>
      </c>
      <c r="C129" s="2" t="s">
        <v>75</v>
      </c>
      <c r="D129" s="2" t="s">
        <v>353</v>
      </c>
      <c r="E129" s="2" t="s">
        <v>77</v>
      </c>
      <c r="F129" s="2" t="s">
        <v>354</v>
      </c>
      <c r="G129" s="2" t="s">
        <v>336</v>
      </c>
      <c r="H129" s="3">
        <v>44004</v>
      </c>
      <c r="I129" s="2" t="s">
        <v>205</v>
      </c>
      <c r="J129" s="2" t="s">
        <v>92</v>
      </c>
      <c r="K129" s="4">
        <v>2020</v>
      </c>
      <c r="L129" s="4">
        <v>1.206</v>
      </c>
      <c r="M129" s="4" t="s">
        <v>80</v>
      </c>
      <c r="N129" s="4" t="s">
        <v>63</v>
      </c>
      <c r="O129" s="4">
        <v>21.707999999999998</v>
      </c>
      <c r="P129" s="4">
        <v>2.3879999999999999</v>
      </c>
      <c r="Q129" s="12">
        <v>19.32</v>
      </c>
      <c r="R129" s="5">
        <v>26938</v>
      </c>
      <c r="S129" s="4">
        <v>371.44799999999998</v>
      </c>
      <c r="T129" s="4">
        <v>-352.12799999999999</v>
      </c>
    </row>
    <row r="130" spans="1:20" ht="15" thickBot="1" x14ac:dyDescent="0.35">
      <c r="A130" s="2" t="s">
        <v>33</v>
      </c>
      <c r="B130" s="2" t="s">
        <v>34</v>
      </c>
      <c r="C130" s="2" t="s">
        <v>82</v>
      </c>
      <c r="D130" s="2" t="s">
        <v>355</v>
      </c>
      <c r="E130" s="2" t="s">
        <v>84</v>
      </c>
      <c r="F130" s="2" t="s">
        <v>356</v>
      </c>
      <c r="G130" s="2" t="s">
        <v>336</v>
      </c>
      <c r="H130" s="3">
        <v>43853</v>
      </c>
      <c r="I130" s="2" t="s">
        <v>39</v>
      </c>
      <c r="J130" s="2" t="s">
        <v>40</v>
      </c>
      <c r="K130" s="4">
        <v>2020</v>
      </c>
      <c r="L130" s="4">
        <v>1.8720000000000001</v>
      </c>
      <c r="M130" s="4" t="s">
        <v>87</v>
      </c>
      <c r="N130" s="4" t="s">
        <v>42</v>
      </c>
      <c r="O130" s="4">
        <v>43.055999999999997</v>
      </c>
      <c r="P130" s="4">
        <v>4.7359999999999998</v>
      </c>
      <c r="Q130" s="12">
        <v>38.32</v>
      </c>
      <c r="R130" s="4" t="s">
        <v>357</v>
      </c>
      <c r="S130" s="4">
        <v>7.4880000000000004</v>
      </c>
      <c r="T130" s="4">
        <v>30.832000000000001</v>
      </c>
    </row>
    <row r="131" spans="1:20" ht="15" thickBot="1" x14ac:dyDescent="0.35">
      <c r="A131" s="2" t="s">
        <v>49</v>
      </c>
      <c r="B131" s="2" t="s">
        <v>34</v>
      </c>
      <c r="C131" s="2" t="s">
        <v>82</v>
      </c>
      <c r="D131" s="2" t="s">
        <v>275</v>
      </c>
      <c r="E131" s="2" t="s">
        <v>84</v>
      </c>
      <c r="F131" s="2" t="s">
        <v>276</v>
      </c>
      <c r="G131" s="2" t="s">
        <v>336</v>
      </c>
      <c r="H131" s="3">
        <v>44280</v>
      </c>
      <c r="I131" s="2" t="s">
        <v>112</v>
      </c>
      <c r="J131" s="2" t="s">
        <v>40</v>
      </c>
      <c r="K131" s="4">
        <v>2021</v>
      </c>
      <c r="L131" s="4">
        <v>3.2469999999999999</v>
      </c>
      <c r="M131" s="4" t="s">
        <v>87</v>
      </c>
      <c r="N131" s="4" t="s">
        <v>116</v>
      </c>
      <c r="O131" s="4">
        <v>35.716999999999999</v>
      </c>
      <c r="P131" s="4">
        <v>3.9289999999999998</v>
      </c>
      <c r="Q131" s="12">
        <v>31.788</v>
      </c>
      <c r="R131" s="4" t="s">
        <v>358</v>
      </c>
      <c r="S131" s="4">
        <v>12.988</v>
      </c>
      <c r="T131" s="4">
        <v>18.8</v>
      </c>
    </row>
    <row r="132" spans="1:20" ht="15" thickBot="1" x14ac:dyDescent="0.35">
      <c r="A132" s="2" t="s">
        <v>49</v>
      </c>
      <c r="B132" s="2" t="s">
        <v>59</v>
      </c>
      <c r="C132" s="2" t="s">
        <v>22</v>
      </c>
      <c r="D132" s="2" t="s">
        <v>181</v>
      </c>
      <c r="E132" s="2" t="s">
        <v>24</v>
      </c>
      <c r="F132" s="2" t="s">
        <v>182</v>
      </c>
      <c r="G132" s="2" t="s">
        <v>336</v>
      </c>
      <c r="H132" s="3">
        <v>44560</v>
      </c>
      <c r="I132" s="2" t="s">
        <v>100</v>
      </c>
      <c r="J132" s="2" t="s">
        <v>96</v>
      </c>
      <c r="K132" s="4">
        <v>2021</v>
      </c>
      <c r="L132" s="4">
        <v>3.59</v>
      </c>
      <c r="M132" s="4" t="s">
        <v>29</v>
      </c>
      <c r="N132" s="4" t="s">
        <v>165</v>
      </c>
      <c r="O132" s="4">
        <v>107.7</v>
      </c>
      <c r="P132" s="4">
        <v>11.847</v>
      </c>
      <c r="Q132" s="12">
        <v>95.852999999999994</v>
      </c>
      <c r="R132" s="4" t="s">
        <v>359</v>
      </c>
      <c r="S132" s="4">
        <v>21.54</v>
      </c>
      <c r="T132" s="4">
        <v>74.313000000000002</v>
      </c>
    </row>
    <row r="133" spans="1:20" ht="15" thickBot="1" x14ac:dyDescent="0.35">
      <c r="A133" s="2" t="s">
        <v>49</v>
      </c>
      <c r="B133" s="2" t="s">
        <v>74</v>
      </c>
      <c r="C133" s="2" t="s">
        <v>35</v>
      </c>
      <c r="D133" s="2" t="s">
        <v>293</v>
      </c>
      <c r="E133" s="2" t="s">
        <v>37</v>
      </c>
      <c r="F133" s="2" t="s">
        <v>294</v>
      </c>
      <c r="G133" s="2" t="s">
        <v>336</v>
      </c>
      <c r="H133" s="3">
        <v>44301</v>
      </c>
      <c r="I133" s="2" t="s">
        <v>91</v>
      </c>
      <c r="J133" s="2" t="s">
        <v>92</v>
      </c>
      <c r="K133" s="4">
        <v>2021</v>
      </c>
      <c r="L133" s="4">
        <v>3.59</v>
      </c>
      <c r="M133" s="4" t="s">
        <v>41</v>
      </c>
      <c r="N133" s="4" t="s">
        <v>165</v>
      </c>
      <c r="O133" s="4">
        <v>107.7</v>
      </c>
      <c r="P133" s="4">
        <v>11.847</v>
      </c>
      <c r="Q133" s="12">
        <v>95.852999999999994</v>
      </c>
      <c r="R133" s="4" t="s">
        <v>359</v>
      </c>
      <c r="S133" s="4">
        <v>43.08</v>
      </c>
      <c r="T133" s="4">
        <v>52.773000000000003</v>
      </c>
    </row>
    <row r="134" spans="1:20" ht="15" thickBot="1" x14ac:dyDescent="0.35">
      <c r="A134" s="2" t="s">
        <v>49</v>
      </c>
      <c r="B134" s="2" t="s">
        <v>64</v>
      </c>
      <c r="C134" s="2" t="s">
        <v>69</v>
      </c>
      <c r="D134" s="2" t="s">
        <v>239</v>
      </c>
      <c r="E134" s="2" t="s">
        <v>71</v>
      </c>
      <c r="F134" s="2" t="s">
        <v>240</v>
      </c>
      <c r="G134" s="2" t="s">
        <v>336</v>
      </c>
      <c r="H134" s="3">
        <v>44113</v>
      </c>
      <c r="I134" s="2" t="s">
        <v>115</v>
      </c>
      <c r="J134" s="2" t="s">
        <v>96</v>
      </c>
      <c r="K134" s="4">
        <v>2020</v>
      </c>
      <c r="L134" s="4">
        <v>3.3660000000000001</v>
      </c>
      <c r="M134" s="4" t="s">
        <v>73</v>
      </c>
      <c r="N134" s="4" t="s">
        <v>165</v>
      </c>
      <c r="O134" s="4">
        <v>100.98</v>
      </c>
      <c r="P134" s="4">
        <v>11.108000000000001</v>
      </c>
      <c r="Q134" s="12">
        <v>89.872</v>
      </c>
      <c r="R134" s="4" t="s">
        <v>360</v>
      </c>
      <c r="S134" s="4">
        <v>498.16800000000001</v>
      </c>
      <c r="T134" s="4">
        <v>-408.29599999999999</v>
      </c>
    </row>
    <row r="135" spans="1:20" ht="15" thickBot="1" x14ac:dyDescent="0.35">
      <c r="A135" s="2" t="s">
        <v>33</v>
      </c>
      <c r="B135" s="2" t="s">
        <v>44</v>
      </c>
      <c r="C135" s="2" t="s">
        <v>69</v>
      </c>
      <c r="D135" s="2" t="s">
        <v>361</v>
      </c>
      <c r="E135" s="2" t="s">
        <v>71</v>
      </c>
      <c r="F135" s="2" t="s">
        <v>362</v>
      </c>
      <c r="G135" s="2" t="s">
        <v>336</v>
      </c>
      <c r="H135" s="3">
        <v>44135</v>
      </c>
      <c r="I135" s="2" t="s">
        <v>115</v>
      </c>
      <c r="J135" s="2" t="s">
        <v>96</v>
      </c>
      <c r="K135" s="4">
        <v>2020</v>
      </c>
      <c r="L135" s="4">
        <v>786</v>
      </c>
      <c r="M135" s="4" t="s">
        <v>73</v>
      </c>
      <c r="N135" s="4" t="s">
        <v>42</v>
      </c>
      <c r="O135" s="4">
        <v>18.077999999999999</v>
      </c>
      <c r="P135" s="4">
        <v>1.9890000000000001</v>
      </c>
      <c r="Q135" s="12">
        <v>16.088999999999999</v>
      </c>
      <c r="R135" s="5">
        <v>27242</v>
      </c>
      <c r="S135" s="4">
        <v>116.328</v>
      </c>
      <c r="T135" s="4">
        <v>-100.239</v>
      </c>
    </row>
    <row r="136" spans="1:20" ht="15" thickBot="1" x14ac:dyDescent="0.35">
      <c r="A136" s="2" t="s">
        <v>49</v>
      </c>
      <c r="B136" s="2" t="s">
        <v>68</v>
      </c>
      <c r="C136" s="2" t="s">
        <v>69</v>
      </c>
      <c r="D136" s="2" t="s">
        <v>163</v>
      </c>
      <c r="E136" s="2" t="s">
        <v>71</v>
      </c>
      <c r="F136" s="2" t="s">
        <v>164</v>
      </c>
      <c r="G136" s="2" t="s">
        <v>336</v>
      </c>
      <c r="H136" s="3">
        <v>44289</v>
      </c>
      <c r="I136" s="2" t="s">
        <v>91</v>
      </c>
      <c r="J136" s="2" t="s">
        <v>92</v>
      </c>
      <c r="K136" s="4">
        <v>2021</v>
      </c>
      <c r="L136" s="4">
        <v>413</v>
      </c>
      <c r="M136" s="4" t="s">
        <v>73</v>
      </c>
      <c r="N136" s="4" t="s">
        <v>54</v>
      </c>
      <c r="O136" s="4">
        <v>216.82499999999999</v>
      </c>
      <c r="P136" s="4">
        <v>23.850999999999999</v>
      </c>
      <c r="Q136" s="12">
        <v>192.97399999999999</v>
      </c>
      <c r="R136" s="4" t="s">
        <v>363</v>
      </c>
      <c r="S136" s="4">
        <v>61.124000000000002</v>
      </c>
      <c r="T136" s="4">
        <v>131.85</v>
      </c>
    </row>
    <row r="137" spans="1:20" ht="15" thickBot="1" x14ac:dyDescent="0.35">
      <c r="A137" s="2" t="s">
        <v>49</v>
      </c>
      <c r="B137" s="2" t="s">
        <v>68</v>
      </c>
      <c r="C137" s="2" t="s">
        <v>75</v>
      </c>
      <c r="D137" s="2" t="s">
        <v>242</v>
      </c>
      <c r="E137" s="2" t="s">
        <v>77</v>
      </c>
      <c r="F137" s="2" t="s">
        <v>243</v>
      </c>
      <c r="G137" s="2" t="s">
        <v>336</v>
      </c>
      <c r="H137" s="3">
        <v>44264</v>
      </c>
      <c r="I137" s="2" t="s">
        <v>112</v>
      </c>
      <c r="J137" s="2" t="s">
        <v>40</v>
      </c>
      <c r="K137" s="4">
        <v>2021</v>
      </c>
      <c r="L137" s="4">
        <v>3.5219999999999998</v>
      </c>
      <c r="M137" s="4" t="s">
        <v>80</v>
      </c>
      <c r="N137" s="4" t="s">
        <v>165</v>
      </c>
      <c r="O137" s="4">
        <v>105.66</v>
      </c>
      <c r="P137" s="4">
        <v>11.622999999999999</v>
      </c>
      <c r="Q137" s="12">
        <v>94.037000000000006</v>
      </c>
      <c r="R137" s="4" t="s">
        <v>364</v>
      </c>
      <c r="S137" s="4" t="s">
        <v>365</v>
      </c>
      <c r="T137" s="4">
        <v>-990.73900000000003</v>
      </c>
    </row>
    <row r="138" spans="1:20" ht="15" thickBot="1" x14ac:dyDescent="0.35">
      <c r="A138" s="2" t="s">
        <v>20</v>
      </c>
      <c r="B138" s="2" t="s">
        <v>50</v>
      </c>
      <c r="C138" s="2" t="s">
        <v>120</v>
      </c>
      <c r="D138" s="2" t="s">
        <v>366</v>
      </c>
      <c r="E138" s="2" t="s">
        <v>122</v>
      </c>
      <c r="F138" s="2" t="s">
        <v>367</v>
      </c>
      <c r="G138" s="2" t="s">
        <v>336</v>
      </c>
      <c r="H138" s="3">
        <v>44128</v>
      </c>
      <c r="I138" s="2" t="s">
        <v>115</v>
      </c>
      <c r="J138" s="2" t="s">
        <v>96</v>
      </c>
      <c r="K138" s="4">
        <v>2020</v>
      </c>
      <c r="L138" s="4">
        <v>1.1359999999999999</v>
      </c>
      <c r="M138" s="4" t="s">
        <v>124</v>
      </c>
      <c r="N138" s="4" t="s">
        <v>30</v>
      </c>
      <c r="O138" s="4">
        <v>213.56800000000001</v>
      </c>
      <c r="P138" s="4">
        <v>23.492000000000001</v>
      </c>
      <c r="Q138" s="12">
        <v>190.07599999999999</v>
      </c>
      <c r="R138" s="4" t="s">
        <v>368</v>
      </c>
      <c r="S138" s="4">
        <v>363.52</v>
      </c>
      <c r="T138" s="4">
        <v>-173.44399999999999</v>
      </c>
    </row>
    <row r="139" spans="1:20" ht="15" thickBot="1" x14ac:dyDescent="0.35">
      <c r="A139" s="2" t="s">
        <v>49</v>
      </c>
      <c r="B139" s="2" t="s">
        <v>59</v>
      </c>
      <c r="C139" s="2" t="s">
        <v>120</v>
      </c>
      <c r="D139" s="2" t="s">
        <v>369</v>
      </c>
      <c r="E139" s="2" t="s">
        <v>122</v>
      </c>
      <c r="F139" s="2" t="s">
        <v>249</v>
      </c>
      <c r="G139" s="2" t="s">
        <v>336</v>
      </c>
      <c r="H139" s="3">
        <v>44472</v>
      </c>
      <c r="I139" s="2" t="s">
        <v>115</v>
      </c>
      <c r="J139" s="2" t="s">
        <v>96</v>
      </c>
      <c r="K139" s="4">
        <v>2021</v>
      </c>
      <c r="L139" s="4">
        <v>413</v>
      </c>
      <c r="M139" s="4" t="s">
        <v>124</v>
      </c>
      <c r="N139" s="4" t="s">
        <v>54</v>
      </c>
      <c r="O139" s="4">
        <v>216.82499999999999</v>
      </c>
      <c r="P139" s="4">
        <v>23.850999999999999</v>
      </c>
      <c r="Q139" s="12">
        <v>192.97399999999999</v>
      </c>
      <c r="R139" s="4" t="s">
        <v>363</v>
      </c>
      <c r="S139" s="4">
        <v>132.16</v>
      </c>
      <c r="T139" s="4">
        <v>60.814</v>
      </c>
    </row>
    <row r="140" spans="1:20" ht="15" thickBot="1" x14ac:dyDescent="0.35">
      <c r="A140" s="2" t="s">
        <v>49</v>
      </c>
      <c r="B140" s="2" t="s">
        <v>44</v>
      </c>
      <c r="C140" s="2" t="s">
        <v>35</v>
      </c>
      <c r="D140" s="2" t="s">
        <v>150</v>
      </c>
      <c r="E140" s="2" t="s">
        <v>37</v>
      </c>
      <c r="F140" s="2" t="s">
        <v>151</v>
      </c>
      <c r="G140" s="2" t="s">
        <v>336</v>
      </c>
      <c r="H140" s="3">
        <v>44316</v>
      </c>
      <c r="I140" s="2" t="s">
        <v>91</v>
      </c>
      <c r="J140" s="2" t="s">
        <v>92</v>
      </c>
      <c r="K140" s="4">
        <v>2021</v>
      </c>
      <c r="L140" s="4">
        <v>456</v>
      </c>
      <c r="M140" s="4" t="s">
        <v>41</v>
      </c>
      <c r="N140" s="4" t="s">
        <v>116</v>
      </c>
      <c r="O140" s="4">
        <v>5.016</v>
      </c>
      <c r="P140" s="4">
        <v>552</v>
      </c>
      <c r="Q140" s="12">
        <v>4.4640000000000004</v>
      </c>
      <c r="R140" s="5">
        <v>13547</v>
      </c>
      <c r="S140" s="4">
        <v>5.4720000000000004</v>
      </c>
      <c r="T140" s="4">
        <v>-1.008</v>
      </c>
    </row>
    <row r="141" spans="1:20" ht="15" thickBot="1" x14ac:dyDescent="0.35">
      <c r="A141" s="2" t="s">
        <v>20</v>
      </c>
      <c r="B141" s="2" t="s">
        <v>64</v>
      </c>
      <c r="C141" s="2" t="s">
        <v>82</v>
      </c>
      <c r="D141" s="2" t="s">
        <v>370</v>
      </c>
      <c r="E141" s="2" t="s">
        <v>84</v>
      </c>
      <c r="F141" s="2" t="s">
        <v>371</v>
      </c>
      <c r="G141" s="2" t="s">
        <v>336</v>
      </c>
      <c r="H141" s="3">
        <v>44146</v>
      </c>
      <c r="I141" s="2" t="s">
        <v>95</v>
      </c>
      <c r="J141" s="2" t="s">
        <v>96</v>
      </c>
      <c r="K141" s="4">
        <v>2020</v>
      </c>
      <c r="L141" s="4">
        <v>2.899</v>
      </c>
      <c r="M141" s="4" t="s">
        <v>87</v>
      </c>
      <c r="N141" s="4" t="s">
        <v>30</v>
      </c>
      <c r="O141" s="4">
        <v>545.01199999999994</v>
      </c>
      <c r="P141" s="4">
        <v>65.400999999999996</v>
      </c>
      <c r="Q141" s="12">
        <v>479.61099999999999</v>
      </c>
      <c r="R141" s="4" t="s">
        <v>372</v>
      </c>
      <c r="S141" s="4">
        <v>11.596</v>
      </c>
      <c r="T141" s="4">
        <v>468.01499999999999</v>
      </c>
    </row>
    <row r="142" spans="1:20" ht="15" thickBot="1" x14ac:dyDescent="0.35">
      <c r="A142" s="2" t="s">
        <v>49</v>
      </c>
      <c r="B142" s="2" t="s">
        <v>21</v>
      </c>
      <c r="C142" s="2" t="s">
        <v>22</v>
      </c>
      <c r="D142" s="2" t="s">
        <v>221</v>
      </c>
      <c r="E142" s="2" t="s">
        <v>24</v>
      </c>
      <c r="F142" s="2" t="s">
        <v>222</v>
      </c>
      <c r="G142" s="2" t="s">
        <v>336</v>
      </c>
      <c r="H142" s="3">
        <v>44542</v>
      </c>
      <c r="I142" s="2" t="s">
        <v>100</v>
      </c>
      <c r="J142" s="2" t="s">
        <v>96</v>
      </c>
      <c r="K142" s="4">
        <v>2021</v>
      </c>
      <c r="L142" s="4">
        <v>2.0579999999999998</v>
      </c>
      <c r="M142" s="4" t="s">
        <v>29</v>
      </c>
      <c r="N142" s="4" t="s">
        <v>165</v>
      </c>
      <c r="O142" s="4">
        <v>61.74</v>
      </c>
      <c r="P142" s="4">
        <v>7.4089999999999998</v>
      </c>
      <c r="Q142" s="12">
        <v>54.331000000000003</v>
      </c>
      <c r="R142" s="4" t="s">
        <v>373</v>
      </c>
      <c r="S142" s="4">
        <v>12.348000000000001</v>
      </c>
      <c r="T142" s="4">
        <v>41.982999999999997</v>
      </c>
    </row>
    <row r="143" spans="1:20" ht="29.4" thickBot="1" x14ac:dyDescent="0.35">
      <c r="A143" s="2" t="s">
        <v>43</v>
      </c>
      <c r="B143" s="2" t="s">
        <v>64</v>
      </c>
      <c r="C143" s="2" t="s">
        <v>22</v>
      </c>
      <c r="D143" s="2" t="s">
        <v>317</v>
      </c>
      <c r="E143" s="2" t="s">
        <v>24</v>
      </c>
      <c r="F143" s="2" t="s">
        <v>318</v>
      </c>
      <c r="G143" s="2" t="s">
        <v>336</v>
      </c>
      <c r="H143" s="3">
        <v>44394</v>
      </c>
      <c r="I143" s="2" t="s">
        <v>62</v>
      </c>
      <c r="J143" s="2" t="s">
        <v>28</v>
      </c>
      <c r="K143" s="4">
        <v>2021</v>
      </c>
      <c r="L143" s="4">
        <v>1.423</v>
      </c>
      <c r="M143" s="4" t="s">
        <v>29</v>
      </c>
      <c r="N143" s="4" t="s">
        <v>47</v>
      </c>
      <c r="O143" s="4">
        <v>640.35</v>
      </c>
      <c r="P143" s="4">
        <v>76.841999999999999</v>
      </c>
      <c r="Q143" s="12">
        <v>563.50800000000004</v>
      </c>
      <c r="R143" s="4" t="s">
        <v>374</v>
      </c>
      <c r="S143" s="4">
        <v>8.5380000000000003</v>
      </c>
      <c r="T143" s="4">
        <v>554.97</v>
      </c>
    </row>
    <row r="144" spans="1:20" ht="15" thickBot="1" x14ac:dyDescent="0.35">
      <c r="A144" s="2" t="s">
        <v>49</v>
      </c>
      <c r="B144" s="2" t="s">
        <v>74</v>
      </c>
      <c r="C144" s="2" t="s">
        <v>35</v>
      </c>
      <c r="D144" s="2" t="s">
        <v>191</v>
      </c>
      <c r="E144" s="2" t="s">
        <v>37</v>
      </c>
      <c r="F144" s="2" t="s">
        <v>192</v>
      </c>
      <c r="G144" s="2" t="s">
        <v>336</v>
      </c>
      <c r="H144" s="3">
        <v>44488</v>
      </c>
      <c r="I144" s="2" t="s">
        <v>115</v>
      </c>
      <c r="J144" s="2" t="s">
        <v>96</v>
      </c>
      <c r="K144" s="4">
        <v>2021</v>
      </c>
      <c r="L144" s="4">
        <v>2.0579999999999998</v>
      </c>
      <c r="M144" s="4" t="s">
        <v>41</v>
      </c>
      <c r="N144" s="4" t="s">
        <v>165</v>
      </c>
      <c r="O144" s="4">
        <v>61.74</v>
      </c>
      <c r="P144" s="4">
        <v>7.4089999999999998</v>
      </c>
      <c r="Q144" s="12">
        <v>54.331000000000003</v>
      </c>
      <c r="R144" s="4" t="s">
        <v>373</v>
      </c>
      <c r="S144" s="4">
        <v>24.696000000000002</v>
      </c>
      <c r="T144" s="4">
        <v>29.635000000000002</v>
      </c>
    </row>
    <row r="145" spans="1:20" ht="15" thickBot="1" x14ac:dyDescent="0.35">
      <c r="A145" s="2" t="s">
        <v>33</v>
      </c>
      <c r="B145" s="2" t="s">
        <v>50</v>
      </c>
      <c r="C145" s="2" t="s">
        <v>35</v>
      </c>
      <c r="D145" s="2" t="s">
        <v>202</v>
      </c>
      <c r="E145" s="2" t="s">
        <v>37</v>
      </c>
      <c r="F145" s="2" t="s">
        <v>203</v>
      </c>
      <c r="G145" s="2" t="s">
        <v>336</v>
      </c>
      <c r="H145" s="3">
        <v>44333</v>
      </c>
      <c r="I145" s="2" t="s">
        <v>142</v>
      </c>
      <c r="J145" s="2" t="s">
        <v>92</v>
      </c>
      <c r="K145" s="4">
        <v>2021</v>
      </c>
      <c r="L145" s="4">
        <v>456</v>
      </c>
      <c r="M145" s="4" t="s">
        <v>41</v>
      </c>
      <c r="N145" s="4" t="s">
        <v>42</v>
      </c>
      <c r="O145" s="4">
        <v>10.488</v>
      </c>
      <c r="P145" s="4">
        <v>1.2589999999999999</v>
      </c>
      <c r="Q145" s="12">
        <v>9.2289999999999992</v>
      </c>
      <c r="R145" s="6">
        <v>45693</v>
      </c>
      <c r="S145" s="4">
        <v>5.4720000000000004</v>
      </c>
      <c r="T145" s="4">
        <v>3.7570000000000001</v>
      </c>
    </row>
    <row r="146" spans="1:20" ht="15" thickBot="1" x14ac:dyDescent="0.35">
      <c r="A146" s="2" t="s">
        <v>49</v>
      </c>
      <c r="B146" s="2" t="s">
        <v>68</v>
      </c>
      <c r="C146" s="2" t="s">
        <v>75</v>
      </c>
      <c r="D146" s="2" t="s">
        <v>242</v>
      </c>
      <c r="E146" s="2" t="s">
        <v>77</v>
      </c>
      <c r="F146" s="2" t="s">
        <v>243</v>
      </c>
      <c r="G146" s="2" t="s">
        <v>336</v>
      </c>
      <c r="H146" s="3">
        <v>43889</v>
      </c>
      <c r="I146" s="2" t="s">
        <v>79</v>
      </c>
      <c r="J146" s="2" t="s">
        <v>40</v>
      </c>
      <c r="K146" s="4">
        <v>2020</v>
      </c>
      <c r="L146" s="4">
        <v>748</v>
      </c>
      <c r="M146" s="4" t="s">
        <v>80</v>
      </c>
      <c r="N146" s="4" t="s">
        <v>54</v>
      </c>
      <c r="O146" s="4">
        <v>392.7</v>
      </c>
      <c r="P146" s="4">
        <v>47.124000000000002</v>
      </c>
      <c r="Q146" s="12">
        <v>345.57600000000002</v>
      </c>
      <c r="R146" s="4" t="s">
        <v>375</v>
      </c>
      <c r="S146" s="4">
        <v>230.38399999999999</v>
      </c>
      <c r="T146" s="4">
        <v>115.19199999999999</v>
      </c>
    </row>
    <row r="147" spans="1:20" ht="15" thickBot="1" x14ac:dyDescent="0.35">
      <c r="A147" s="2" t="s">
        <v>33</v>
      </c>
      <c r="B147" s="2" t="s">
        <v>64</v>
      </c>
      <c r="C147" s="2" t="s">
        <v>120</v>
      </c>
      <c r="D147" s="2" t="s">
        <v>210</v>
      </c>
      <c r="E147" s="2" t="s">
        <v>122</v>
      </c>
      <c r="F147" s="2" t="s">
        <v>211</v>
      </c>
      <c r="G147" s="2" t="s">
        <v>336</v>
      </c>
      <c r="H147" s="3">
        <v>44181</v>
      </c>
      <c r="I147" s="2" t="s">
        <v>100</v>
      </c>
      <c r="J147" s="2" t="s">
        <v>96</v>
      </c>
      <c r="K147" s="4">
        <v>2020</v>
      </c>
      <c r="L147" s="4">
        <v>3.0579999999999998</v>
      </c>
      <c r="M147" s="4" t="s">
        <v>124</v>
      </c>
      <c r="N147" s="4" t="s">
        <v>42</v>
      </c>
      <c r="O147" s="4">
        <v>70.334000000000003</v>
      </c>
      <c r="P147" s="4">
        <v>8.44</v>
      </c>
      <c r="Q147" s="12">
        <v>61.893999999999998</v>
      </c>
      <c r="R147" s="4" t="s">
        <v>376</v>
      </c>
      <c r="S147" s="4">
        <v>978.56</v>
      </c>
      <c r="T147" s="4">
        <v>-916.66600000000005</v>
      </c>
    </row>
    <row r="148" spans="1:20" ht="29.4" thickBot="1" x14ac:dyDescent="0.35">
      <c r="A148" s="2" t="s">
        <v>58</v>
      </c>
      <c r="B148" s="2" t="s">
        <v>68</v>
      </c>
      <c r="C148" s="2" t="s">
        <v>120</v>
      </c>
      <c r="D148" s="2" t="s">
        <v>377</v>
      </c>
      <c r="E148" s="2" t="s">
        <v>122</v>
      </c>
      <c r="F148" s="2" t="s">
        <v>378</v>
      </c>
      <c r="G148" s="2" t="s">
        <v>336</v>
      </c>
      <c r="H148" s="3">
        <v>43837</v>
      </c>
      <c r="I148" s="2" t="s">
        <v>39</v>
      </c>
      <c r="J148" s="2" t="s">
        <v>40</v>
      </c>
      <c r="K148" s="4">
        <v>2020</v>
      </c>
      <c r="L148" s="4">
        <v>3.3130000000000002</v>
      </c>
      <c r="M148" s="4" t="s">
        <v>124</v>
      </c>
      <c r="N148" s="4" t="s">
        <v>63</v>
      </c>
      <c r="O148" s="4">
        <v>59.634</v>
      </c>
      <c r="P148" s="4">
        <v>7.1559999999999997</v>
      </c>
      <c r="Q148" s="12">
        <v>52.478000000000002</v>
      </c>
      <c r="R148" s="4" t="s">
        <v>379</v>
      </c>
      <c r="S148" s="4" t="s">
        <v>380</v>
      </c>
      <c r="T148" s="4" t="s">
        <v>381</v>
      </c>
    </row>
    <row r="149" spans="1:20" ht="15" thickBot="1" x14ac:dyDescent="0.35">
      <c r="A149" s="2" t="s">
        <v>49</v>
      </c>
      <c r="B149" s="2" t="s">
        <v>74</v>
      </c>
      <c r="C149" s="2" t="s">
        <v>82</v>
      </c>
      <c r="D149" s="2" t="s">
        <v>219</v>
      </c>
      <c r="E149" s="2" t="s">
        <v>84</v>
      </c>
      <c r="F149" s="2" t="s">
        <v>220</v>
      </c>
      <c r="G149" s="2" t="s">
        <v>336</v>
      </c>
      <c r="H149" s="3">
        <v>43912</v>
      </c>
      <c r="I149" s="2" t="s">
        <v>112</v>
      </c>
      <c r="J149" s="2" t="s">
        <v>40</v>
      </c>
      <c r="K149" s="4">
        <v>2020</v>
      </c>
      <c r="L149" s="4">
        <v>530</v>
      </c>
      <c r="M149" s="4" t="s">
        <v>87</v>
      </c>
      <c r="N149" s="4" t="s">
        <v>165</v>
      </c>
      <c r="O149" s="4">
        <v>15.9</v>
      </c>
      <c r="P149" s="4">
        <v>2.0670000000000002</v>
      </c>
      <c r="Q149" s="12">
        <v>13.833</v>
      </c>
      <c r="R149" s="5">
        <v>25385</v>
      </c>
      <c r="S149" s="4">
        <v>2.12</v>
      </c>
      <c r="T149" s="4">
        <v>11.712999999999999</v>
      </c>
    </row>
    <row r="150" spans="1:20" ht="15" thickBot="1" x14ac:dyDescent="0.35">
      <c r="A150" s="2" t="s">
        <v>33</v>
      </c>
      <c r="B150" s="2" t="s">
        <v>74</v>
      </c>
      <c r="C150" s="2" t="s">
        <v>69</v>
      </c>
      <c r="D150" s="2" t="s">
        <v>382</v>
      </c>
      <c r="E150" s="2" t="s">
        <v>71</v>
      </c>
      <c r="F150" s="2" t="s">
        <v>383</v>
      </c>
      <c r="G150" s="2" t="s">
        <v>336</v>
      </c>
      <c r="H150" s="3">
        <v>44381</v>
      </c>
      <c r="I150" s="2" t="s">
        <v>62</v>
      </c>
      <c r="J150" s="2" t="s">
        <v>28</v>
      </c>
      <c r="K150" s="4">
        <v>2021</v>
      </c>
      <c r="L150" s="4">
        <v>792</v>
      </c>
      <c r="M150" s="4" t="s">
        <v>73</v>
      </c>
      <c r="N150" s="4" t="s">
        <v>42</v>
      </c>
      <c r="O150" s="4">
        <v>18.216000000000001</v>
      </c>
      <c r="P150" s="4">
        <v>2.3679999999999999</v>
      </c>
      <c r="Q150" s="12">
        <v>15.848000000000001</v>
      </c>
      <c r="R150" s="5">
        <v>22494</v>
      </c>
      <c r="S150" s="4">
        <v>117.21599999999999</v>
      </c>
      <c r="T150" s="4">
        <v>-101.36799999999999</v>
      </c>
    </row>
    <row r="151" spans="1:20" ht="29.4" thickBot="1" x14ac:dyDescent="0.35">
      <c r="A151" s="2" t="s">
        <v>43</v>
      </c>
      <c r="B151" s="2" t="s">
        <v>21</v>
      </c>
      <c r="C151" s="2" t="s">
        <v>69</v>
      </c>
      <c r="D151" s="2" t="s">
        <v>384</v>
      </c>
      <c r="E151" s="2" t="s">
        <v>71</v>
      </c>
      <c r="F151" s="2" t="s">
        <v>385</v>
      </c>
      <c r="G151" s="2" t="s">
        <v>336</v>
      </c>
      <c r="H151" s="3">
        <v>44429</v>
      </c>
      <c r="I151" s="2" t="s">
        <v>53</v>
      </c>
      <c r="J151" s="2" t="s">
        <v>28</v>
      </c>
      <c r="K151" s="4">
        <v>2021</v>
      </c>
      <c r="L151" s="4">
        <v>3.1259999999999999</v>
      </c>
      <c r="M151" s="4" t="s">
        <v>73</v>
      </c>
      <c r="N151" s="4" t="s">
        <v>47</v>
      </c>
      <c r="O151" s="4" t="s">
        <v>386</v>
      </c>
      <c r="P151" s="4">
        <v>182.87100000000001</v>
      </c>
      <c r="Q151" s="12" t="s">
        <v>387</v>
      </c>
      <c r="R151" s="4" t="s">
        <v>388</v>
      </c>
      <c r="S151" s="4">
        <v>462.64800000000002</v>
      </c>
      <c r="T151" s="4">
        <v>761.18100000000004</v>
      </c>
    </row>
    <row r="152" spans="1:20" ht="29.4" thickBot="1" x14ac:dyDescent="0.35">
      <c r="A152" s="2" t="s">
        <v>58</v>
      </c>
      <c r="B152" s="2" t="s">
        <v>34</v>
      </c>
      <c r="C152" s="2" t="s">
        <v>120</v>
      </c>
      <c r="D152" s="2" t="s">
        <v>389</v>
      </c>
      <c r="E152" s="2" t="s">
        <v>122</v>
      </c>
      <c r="F152" s="2" t="s">
        <v>301</v>
      </c>
      <c r="G152" s="2" t="s">
        <v>336</v>
      </c>
      <c r="H152" s="3">
        <v>43851</v>
      </c>
      <c r="I152" s="2" t="s">
        <v>39</v>
      </c>
      <c r="J152" s="2" t="s">
        <v>40</v>
      </c>
      <c r="K152" s="4">
        <v>2020</v>
      </c>
      <c r="L152" s="4">
        <v>2.1240000000000001</v>
      </c>
      <c r="M152" s="4" t="s">
        <v>124</v>
      </c>
      <c r="N152" s="4" t="s">
        <v>63</v>
      </c>
      <c r="O152" s="4">
        <v>38.231999999999999</v>
      </c>
      <c r="P152" s="4">
        <v>4.97</v>
      </c>
      <c r="Q152" s="12">
        <v>33.262</v>
      </c>
      <c r="R152" s="4" t="s">
        <v>390</v>
      </c>
      <c r="S152" s="4">
        <v>679.68</v>
      </c>
      <c r="T152" s="4">
        <v>-646.41800000000001</v>
      </c>
    </row>
    <row r="153" spans="1:20" ht="15" thickBot="1" x14ac:dyDescent="0.35">
      <c r="A153" s="2" t="s">
        <v>49</v>
      </c>
      <c r="B153" s="2" t="s">
        <v>21</v>
      </c>
      <c r="C153" s="2" t="s">
        <v>82</v>
      </c>
      <c r="D153" s="2" t="s">
        <v>248</v>
      </c>
      <c r="E153" s="2" t="s">
        <v>84</v>
      </c>
      <c r="F153" s="2" t="s">
        <v>249</v>
      </c>
      <c r="G153" s="2" t="s">
        <v>336</v>
      </c>
      <c r="H153" s="3">
        <v>43986</v>
      </c>
      <c r="I153" s="2" t="s">
        <v>205</v>
      </c>
      <c r="J153" s="2" t="s">
        <v>92</v>
      </c>
      <c r="K153" s="4">
        <v>2020</v>
      </c>
      <c r="L153" s="4">
        <v>3.5950000000000002</v>
      </c>
      <c r="M153" s="4" t="s">
        <v>87</v>
      </c>
      <c r="N153" s="4" t="s">
        <v>116</v>
      </c>
      <c r="O153" s="4">
        <v>39.545000000000002</v>
      </c>
      <c r="P153" s="4">
        <v>5.5359999999999996</v>
      </c>
      <c r="Q153" s="12">
        <v>34.009</v>
      </c>
      <c r="R153" s="6">
        <v>45765</v>
      </c>
      <c r="S153" s="4">
        <v>14.38</v>
      </c>
      <c r="T153" s="4">
        <v>19.629000000000001</v>
      </c>
    </row>
    <row r="154" spans="1:20" ht="15" thickBot="1" x14ac:dyDescent="0.35">
      <c r="A154" s="2" t="s">
        <v>49</v>
      </c>
      <c r="B154" s="2" t="s">
        <v>44</v>
      </c>
      <c r="C154" s="2" t="s">
        <v>22</v>
      </c>
      <c r="D154" s="2" t="s">
        <v>391</v>
      </c>
      <c r="E154" s="2" t="s">
        <v>24</v>
      </c>
      <c r="F154" s="2" t="s">
        <v>310</v>
      </c>
      <c r="G154" s="2" t="s">
        <v>336</v>
      </c>
      <c r="H154" s="3">
        <v>44261</v>
      </c>
      <c r="I154" s="2" t="s">
        <v>112</v>
      </c>
      <c r="J154" s="2" t="s">
        <v>40</v>
      </c>
      <c r="K154" s="4">
        <v>2021</v>
      </c>
      <c r="L154" s="4">
        <v>3.5950000000000002</v>
      </c>
      <c r="M154" s="4" t="s">
        <v>29</v>
      </c>
      <c r="N154" s="4" t="s">
        <v>116</v>
      </c>
      <c r="O154" s="4">
        <v>39.545000000000002</v>
      </c>
      <c r="P154" s="4">
        <v>5.5359999999999996</v>
      </c>
      <c r="Q154" s="12">
        <v>34.009</v>
      </c>
      <c r="R154" s="6">
        <v>45765</v>
      </c>
      <c r="S154" s="4">
        <v>21.57</v>
      </c>
      <c r="T154" s="4">
        <v>12.439</v>
      </c>
    </row>
    <row r="155" spans="1:20" ht="29.4" thickBot="1" x14ac:dyDescent="0.35">
      <c r="A155" s="2" t="s">
        <v>58</v>
      </c>
      <c r="B155" s="2" t="s">
        <v>34</v>
      </c>
      <c r="C155" s="2" t="s">
        <v>120</v>
      </c>
      <c r="D155" s="2" t="s">
        <v>121</v>
      </c>
      <c r="E155" s="2" t="s">
        <v>122</v>
      </c>
      <c r="F155" s="2" t="s">
        <v>123</v>
      </c>
      <c r="G155" s="2" t="s">
        <v>336</v>
      </c>
      <c r="H155" s="3">
        <v>44415</v>
      </c>
      <c r="I155" s="2" t="s">
        <v>53</v>
      </c>
      <c r="J155" s="2" t="s">
        <v>28</v>
      </c>
      <c r="K155" s="4">
        <v>2021</v>
      </c>
      <c r="L155" s="4">
        <v>2.4180000000000001</v>
      </c>
      <c r="M155" s="4" t="s">
        <v>124</v>
      </c>
      <c r="N155" s="4" t="s">
        <v>63</v>
      </c>
      <c r="O155" s="4">
        <v>43.524000000000001</v>
      </c>
      <c r="P155" s="4">
        <v>6.093</v>
      </c>
      <c r="Q155" s="12">
        <v>37.430999999999997</v>
      </c>
      <c r="R155" s="4" t="s">
        <v>392</v>
      </c>
      <c r="S155" s="4">
        <v>773.76</v>
      </c>
      <c r="T155" s="4">
        <v>-736.32899999999995</v>
      </c>
    </row>
    <row r="156" spans="1:20" ht="15" thickBot="1" x14ac:dyDescent="0.35">
      <c r="A156" s="2" t="s">
        <v>20</v>
      </c>
      <c r="B156" s="2" t="s">
        <v>59</v>
      </c>
      <c r="C156" s="2" t="s">
        <v>82</v>
      </c>
      <c r="D156" s="2" t="s">
        <v>337</v>
      </c>
      <c r="E156" s="2" t="s">
        <v>84</v>
      </c>
      <c r="F156" s="2" t="s">
        <v>338</v>
      </c>
      <c r="G156" s="2" t="s">
        <v>336</v>
      </c>
      <c r="H156" s="3">
        <v>43918</v>
      </c>
      <c r="I156" s="2" t="s">
        <v>112</v>
      </c>
      <c r="J156" s="2" t="s">
        <v>40</v>
      </c>
      <c r="K156" s="4">
        <v>2020</v>
      </c>
      <c r="L156" s="4">
        <v>1.228</v>
      </c>
      <c r="M156" s="4" t="s">
        <v>87</v>
      </c>
      <c r="N156" s="4" t="s">
        <v>30</v>
      </c>
      <c r="O156" s="4">
        <v>230.864</v>
      </c>
      <c r="P156" s="4">
        <v>32.320999999999998</v>
      </c>
      <c r="Q156" s="12">
        <v>198.54300000000001</v>
      </c>
      <c r="R156" s="4" t="s">
        <v>393</v>
      </c>
      <c r="S156" s="4">
        <v>4.9119999999999999</v>
      </c>
      <c r="T156" s="4">
        <v>193.631</v>
      </c>
    </row>
    <row r="157" spans="1:20" ht="15" thickBot="1" x14ac:dyDescent="0.35">
      <c r="A157" s="2" t="s">
        <v>20</v>
      </c>
      <c r="B157" s="2" t="s">
        <v>50</v>
      </c>
      <c r="C157" s="2" t="s">
        <v>82</v>
      </c>
      <c r="D157" s="2" t="s">
        <v>394</v>
      </c>
      <c r="E157" s="2" t="s">
        <v>84</v>
      </c>
      <c r="F157" s="2" t="s">
        <v>313</v>
      </c>
      <c r="G157" s="2" t="s">
        <v>336</v>
      </c>
      <c r="H157" s="3">
        <v>44385</v>
      </c>
      <c r="I157" s="2" t="s">
        <v>62</v>
      </c>
      <c r="J157" s="2" t="s">
        <v>28</v>
      </c>
      <c r="K157" s="4">
        <v>2021</v>
      </c>
      <c r="L157" s="4">
        <v>3.3849999999999998</v>
      </c>
      <c r="M157" s="4" t="s">
        <v>87</v>
      </c>
      <c r="N157" s="4" t="s">
        <v>30</v>
      </c>
      <c r="O157" s="4">
        <v>636.38</v>
      </c>
      <c r="P157" s="4">
        <v>89.093000000000004</v>
      </c>
      <c r="Q157" s="12">
        <v>547.28700000000003</v>
      </c>
      <c r="R157" s="4" t="s">
        <v>395</v>
      </c>
      <c r="S157" s="4">
        <v>13.54</v>
      </c>
      <c r="T157" s="4">
        <v>533.74699999999996</v>
      </c>
    </row>
    <row r="158" spans="1:20" ht="15" thickBot="1" x14ac:dyDescent="0.35">
      <c r="A158" s="2" t="s">
        <v>49</v>
      </c>
      <c r="B158" s="2" t="s">
        <v>21</v>
      </c>
      <c r="C158" s="2" t="s">
        <v>22</v>
      </c>
      <c r="D158" s="2" t="s">
        <v>221</v>
      </c>
      <c r="E158" s="2" t="s">
        <v>24</v>
      </c>
      <c r="F158" s="2" t="s">
        <v>222</v>
      </c>
      <c r="G158" s="2" t="s">
        <v>336</v>
      </c>
      <c r="H158" s="3">
        <v>44151</v>
      </c>
      <c r="I158" s="2" t="s">
        <v>95</v>
      </c>
      <c r="J158" s="2" t="s">
        <v>96</v>
      </c>
      <c r="K158" s="4">
        <v>2020</v>
      </c>
      <c r="L158" s="4">
        <v>2.0720000000000001</v>
      </c>
      <c r="M158" s="4" t="s">
        <v>29</v>
      </c>
      <c r="N158" s="4" t="s">
        <v>116</v>
      </c>
      <c r="O158" s="4">
        <v>22.792000000000002</v>
      </c>
      <c r="P158" s="4">
        <v>3.1909999999999998</v>
      </c>
      <c r="Q158" s="12">
        <v>19.600999999999999</v>
      </c>
      <c r="R158" s="5">
        <v>14885</v>
      </c>
      <c r="S158" s="4">
        <v>12.432</v>
      </c>
      <c r="T158" s="4">
        <v>7.1689999999999996</v>
      </c>
    </row>
    <row r="159" spans="1:20" ht="15" thickBot="1" x14ac:dyDescent="0.35">
      <c r="A159" s="2" t="s">
        <v>33</v>
      </c>
      <c r="B159" s="2" t="s">
        <v>64</v>
      </c>
      <c r="C159" s="2" t="s">
        <v>35</v>
      </c>
      <c r="D159" s="2" t="s">
        <v>65</v>
      </c>
      <c r="E159" s="2" t="s">
        <v>37</v>
      </c>
      <c r="F159" s="2" t="s">
        <v>66</v>
      </c>
      <c r="G159" s="2" t="s">
        <v>336</v>
      </c>
      <c r="H159" s="3">
        <v>43922</v>
      </c>
      <c r="I159" s="2" t="s">
        <v>91</v>
      </c>
      <c r="J159" s="2" t="s">
        <v>92</v>
      </c>
      <c r="K159" s="4">
        <v>2020</v>
      </c>
      <c r="L159" s="4">
        <v>2.964</v>
      </c>
      <c r="M159" s="4" t="s">
        <v>41</v>
      </c>
      <c r="N159" s="4" t="s">
        <v>42</v>
      </c>
      <c r="O159" s="4">
        <v>68.171999999999997</v>
      </c>
      <c r="P159" s="4">
        <v>9.5440000000000005</v>
      </c>
      <c r="Q159" s="12">
        <v>58.628</v>
      </c>
      <c r="R159" s="4" t="s">
        <v>396</v>
      </c>
      <c r="S159" s="4">
        <v>35.567999999999998</v>
      </c>
      <c r="T159" s="4">
        <v>23.06</v>
      </c>
    </row>
    <row r="160" spans="1:20" ht="15" thickBot="1" x14ac:dyDescent="0.35">
      <c r="A160" s="2" t="s">
        <v>33</v>
      </c>
      <c r="B160" s="2" t="s">
        <v>64</v>
      </c>
      <c r="C160" s="2" t="s">
        <v>35</v>
      </c>
      <c r="D160" s="2" t="s">
        <v>65</v>
      </c>
      <c r="E160" s="2" t="s">
        <v>37</v>
      </c>
      <c r="F160" s="2" t="s">
        <v>66</v>
      </c>
      <c r="G160" s="2" t="s">
        <v>336</v>
      </c>
      <c r="H160" s="3">
        <v>44308</v>
      </c>
      <c r="I160" s="2" t="s">
        <v>91</v>
      </c>
      <c r="J160" s="2" t="s">
        <v>92</v>
      </c>
      <c r="K160" s="4">
        <v>2021</v>
      </c>
      <c r="L160" s="4">
        <v>2.0920000000000001</v>
      </c>
      <c r="M160" s="4" t="s">
        <v>41</v>
      </c>
      <c r="N160" s="4" t="s">
        <v>42</v>
      </c>
      <c r="O160" s="4">
        <v>48.116</v>
      </c>
      <c r="P160" s="4">
        <v>6.7359999999999998</v>
      </c>
      <c r="Q160" s="12">
        <v>41.38</v>
      </c>
      <c r="R160" s="4" t="s">
        <v>397</v>
      </c>
      <c r="S160" s="4">
        <v>25.103999999999999</v>
      </c>
      <c r="T160" s="4">
        <v>16.276</v>
      </c>
    </row>
    <row r="161" spans="1:20" ht="29.4" thickBot="1" x14ac:dyDescent="0.35">
      <c r="A161" s="2" t="s">
        <v>58</v>
      </c>
      <c r="B161" s="2" t="s">
        <v>50</v>
      </c>
      <c r="C161" s="2" t="s">
        <v>35</v>
      </c>
      <c r="D161" s="2" t="s">
        <v>255</v>
      </c>
      <c r="E161" s="2" t="s">
        <v>37</v>
      </c>
      <c r="F161" s="2" t="s">
        <v>198</v>
      </c>
      <c r="G161" s="2" t="s">
        <v>336</v>
      </c>
      <c r="H161" s="3">
        <v>43952</v>
      </c>
      <c r="I161" s="2" t="s">
        <v>142</v>
      </c>
      <c r="J161" s="2" t="s">
        <v>92</v>
      </c>
      <c r="K161" s="4">
        <v>2020</v>
      </c>
      <c r="L161" s="4">
        <v>2.6659999999999999</v>
      </c>
      <c r="M161" s="4" t="s">
        <v>41</v>
      </c>
      <c r="N161" s="4" t="s">
        <v>63</v>
      </c>
      <c r="O161" s="4">
        <v>47.988</v>
      </c>
      <c r="P161" s="4">
        <v>6.718</v>
      </c>
      <c r="Q161" s="12">
        <v>41.27</v>
      </c>
      <c r="R161" s="4" t="s">
        <v>398</v>
      </c>
      <c r="S161" s="4">
        <v>31.992000000000001</v>
      </c>
      <c r="T161" s="4">
        <v>9.2780000000000005</v>
      </c>
    </row>
    <row r="162" spans="1:20" ht="15" thickBot="1" x14ac:dyDescent="0.35">
      <c r="A162" s="2" t="s">
        <v>49</v>
      </c>
      <c r="B162" s="2" t="s">
        <v>50</v>
      </c>
      <c r="C162" s="2" t="s">
        <v>35</v>
      </c>
      <c r="D162" s="2" t="s">
        <v>233</v>
      </c>
      <c r="E162" s="2" t="s">
        <v>37</v>
      </c>
      <c r="F162" s="2" t="s">
        <v>234</v>
      </c>
      <c r="G162" s="2" t="s">
        <v>336</v>
      </c>
      <c r="H162" s="3">
        <v>44366</v>
      </c>
      <c r="I162" s="2" t="s">
        <v>205</v>
      </c>
      <c r="J162" s="2" t="s">
        <v>92</v>
      </c>
      <c r="K162" s="4">
        <v>2021</v>
      </c>
      <c r="L162" s="4">
        <v>2.306</v>
      </c>
      <c r="M162" s="4" t="s">
        <v>41</v>
      </c>
      <c r="N162" s="4" t="s">
        <v>54</v>
      </c>
      <c r="O162" s="4" t="s">
        <v>399</v>
      </c>
      <c r="P162" s="4">
        <v>169.49100000000001</v>
      </c>
      <c r="Q162" s="12" t="s">
        <v>400</v>
      </c>
      <c r="R162" s="4" t="s">
        <v>401</v>
      </c>
      <c r="S162" s="4">
        <v>27.672000000000001</v>
      </c>
      <c r="T162" s="4" t="s">
        <v>402</v>
      </c>
    </row>
    <row r="163" spans="1:20" ht="29.4" thickBot="1" x14ac:dyDescent="0.35">
      <c r="A163" s="2" t="s">
        <v>43</v>
      </c>
      <c r="B163" s="2" t="s">
        <v>59</v>
      </c>
      <c r="C163" s="2" t="s">
        <v>69</v>
      </c>
      <c r="D163" s="2" t="s">
        <v>403</v>
      </c>
      <c r="E163" s="2" t="s">
        <v>71</v>
      </c>
      <c r="F163" s="2" t="s">
        <v>238</v>
      </c>
      <c r="G163" s="2" t="s">
        <v>336</v>
      </c>
      <c r="H163" s="3">
        <v>44204</v>
      </c>
      <c r="I163" s="2" t="s">
        <v>39</v>
      </c>
      <c r="J163" s="2" t="s">
        <v>40</v>
      </c>
      <c r="K163" s="4">
        <v>2021</v>
      </c>
      <c r="L163" s="4">
        <v>323</v>
      </c>
      <c r="M163" s="4" t="s">
        <v>73</v>
      </c>
      <c r="N163" s="4" t="s">
        <v>47</v>
      </c>
      <c r="O163" s="4">
        <v>145.35</v>
      </c>
      <c r="P163" s="4">
        <v>20.349</v>
      </c>
      <c r="Q163" s="12">
        <v>125.001</v>
      </c>
      <c r="R163" s="4" t="s">
        <v>404</v>
      </c>
      <c r="S163" s="4">
        <v>47.804000000000002</v>
      </c>
      <c r="T163" s="4">
        <v>77.197000000000003</v>
      </c>
    </row>
    <row r="164" spans="1:20" ht="29.4" thickBot="1" x14ac:dyDescent="0.35">
      <c r="A164" s="2" t="s">
        <v>43</v>
      </c>
      <c r="B164" s="2" t="s">
        <v>64</v>
      </c>
      <c r="C164" s="2" t="s">
        <v>69</v>
      </c>
      <c r="D164" s="2" t="s">
        <v>405</v>
      </c>
      <c r="E164" s="2" t="s">
        <v>71</v>
      </c>
      <c r="F164" s="2" t="s">
        <v>406</v>
      </c>
      <c r="G164" s="2" t="s">
        <v>336</v>
      </c>
      <c r="H164" s="3">
        <v>44442</v>
      </c>
      <c r="I164" s="2" t="s">
        <v>27</v>
      </c>
      <c r="J164" s="2" t="s">
        <v>28</v>
      </c>
      <c r="K164" s="4">
        <v>2021</v>
      </c>
      <c r="L164" s="4">
        <v>3.0430000000000001</v>
      </c>
      <c r="M164" s="4" t="s">
        <v>73</v>
      </c>
      <c r="N164" s="4" t="s">
        <v>47</v>
      </c>
      <c r="O164" s="4" t="s">
        <v>407</v>
      </c>
      <c r="P164" s="4">
        <v>191.709</v>
      </c>
      <c r="Q164" s="12" t="s">
        <v>408</v>
      </c>
      <c r="R164" s="4" t="s">
        <v>409</v>
      </c>
      <c r="S164" s="4">
        <v>450.36399999999998</v>
      </c>
      <c r="T164" s="4">
        <v>727.27700000000004</v>
      </c>
    </row>
    <row r="165" spans="1:20" ht="29.4" thickBot="1" x14ac:dyDescent="0.35">
      <c r="A165" s="2" t="s">
        <v>43</v>
      </c>
      <c r="B165" s="2" t="s">
        <v>68</v>
      </c>
      <c r="C165" s="2" t="s">
        <v>75</v>
      </c>
      <c r="D165" s="2" t="s">
        <v>265</v>
      </c>
      <c r="E165" s="2" t="s">
        <v>77</v>
      </c>
      <c r="F165" s="2" t="s">
        <v>266</v>
      </c>
      <c r="G165" s="2" t="s">
        <v>336</v>
      </c>
      <c r="H165" s="3">
        <v>44488</v>
      </c>
      <c r="I165" s="2" t="s">
        <v>115</v>
      </c>
      <c r="J165" s="2" t="s">
        <v>96</v>
      </c>
      <c r="K165" s="4">
        <v>2021</v>
      </c>
      <c r="L165" s="4">
        <v>323</v>
      </c>
      <c r="M165" s="4" t="s">
        <v>80</v>
      </c>
      <c r="N165" s="4" t="s">
        <v>47</v>
      </c>
      <c r="O165" s="4">
        <v>145.35</v>
      </c>
      <c r="P165" s="4">
        <v>20.349</v>
      </c>
      <c r="Q165" s="12">
        <v>125.001</v>
      </c>
      <c r="R165" s="4" t="s">
        <v>404</v>
      </c>
      <c r="S165" s="4">
        <v>99.483999999999995</v>
      </c>
      <c r="T165" s="4">
        <v>25.516999999999999</v>
      </c>
    </row>
    <row r="166" spans="1:20" ht="15" thickBot="1" x14ac:dyDescent="0.35">
      <c r="A166" s="2" t="s">
        <v>49</v>
      </c>
      <c r="B166" s="2" t="s">
        <v>74</v>
      </c>
      <c r="C166" s="2" t="s">
        <v>75</v>
      </c>
      <c r="D166" s="2" t="s">
        <v>76</v>
      </c>
      <c r="E166" s="2" t="s">
        <v>77</v>
      </c>
      <c r="F166" s="2" t="s">
        <v>78</v>
      </c>
      <c r="G166" s="2" t="s">
        <v>336</v>
      </c>
      <c r="H166" s="3">
        <v>44215</v>
      </c>
      <c r="I166" s="2" t="s">
        <v>39</v>
      </c>
      <c r="J166" s="2" t="s">
        <v>40</v>
      </c>
      <c r="K166" s="4">
        <v>2021</v>
      </c>
      <c r="L166" s="4">
        <v>1.5369999999999999</v>
      </c>
      <c r="M166" s="4" t="s">
        <v>80</v>
      </c>
      <c r="N166" s="4" t="s">
        <v>54</v>
      </c>
      <c r="O166" s="4">
        <v>806.92499999999995</v>
      </c>
      <c r="P166" s="4">
        <v>112.97</v>
      </c>
      <c r="Q166" s="12">
        <v>693.95600000000002</v>
      </c>
      <c r="R166" s="4" t="s">
        <v>410</v>
      </c>
      <c r="S166" s="4">
        <v>473.39600000000002</v>
      </c>
      <c r="T166" s="4">
        <v>220.56</v>
      </c>
    </row>
    <row r="167" spans="1:20" ht="15" thickBot="1" x14ac:dyDescent="0.35">
      <c r="A167" s="2" t="s">
        <v>33</v>
      </c>
      <c r="B167" s="2" t="s">
        <v>68</v>
      </c>
      <c r="C167" s="2" t="s">
        <v>120</v>
      </c>
      <c r="D167" s="2" t="s">
        <v>411</v>
      </c>
      <c r="E167" s="2" t="s">
        <v>122</v>
      </c>
      <c r="F167" s="2" t="s">
        <v>412</v>
      </c>
      <c r="G167" s="2" t="s">
        <v>336</v>
      </c>
      <c r="H167" s="3">
        <v>44111</v>
      </c>
      <c r="I167" s="2" t="s">
        <v>115</v>
      </c>
      <c r="J167" s="2" t="s">
        <v>96</v>
      </c>
      <c r="K167" s="4">
        <v>2020</v>
      </c>
      <c r="L167" s="4">
        <v>2.0920000000000001</v>
      </c>
      <c r="M167" s="4" t="s">
        <v>124</v>
      </c>
      <c r="N167" s="4" t="s">
        <v>42</v>
      </c>
      <c r="O167" s="4">
        <v>48.116</v>
      </c>
      <c r="P167" s="4">
        <v>6.7359999999999998</v>
      </c>
      <c r="Q167" s="12">
        <v>41.38</v>
      </c>
      <c r="R167" s="4" t="s">
        <v>397</v>
      </c>
      <c r="S167" s="4">
        <v>669.44</v>
      </c>
      <c r="T167" s="4">
        <v>-628.05999999999995</v>
      </c>
    </row>
    <row r="168" spans="1:20" ht="15" thickBot="1" x14ac:dyDescent="0.35">
      <c r="A168" s="2" t="s">
        <v>49</v>
      </c>
      <c r="B168" s="2" t="s">
        <v>59</v>
      </c>
      <c r="C168" s="2" t="s">
        <v>120</v>
      </c>
      <c r="D168" s="2" t="s">
        <v>369</v>
      </c>
      <c r="E168" s="2" t="s">
        <v>122</v>
      </c>
      <c r="F168" s="2" t="s">
        <v>249</v>
      </c>
      <c r="G168" s="2" t="s">
        <v>336</v>
      </c>
      <c r="H168" s="3">
        <v>44530</v>
      </c>
      <c r="I168" s="2" t="s">
        <v>95</v>
      </c>
      <c r="J168" s="2" t="s">
        <v>96</v>
      </c>
      <c r="K168" s="4">
        <v>2021</v>
      </c>
      <c r="L168" s="4">
        <v>2.0720000000000001</v>
      </c>
      <c r="M168" s="4" t="s">
        <v>124</v>
      </c>
      <c r="N168" s="4" t="s">
        <v>116</v>
      </c>
      <c r="O168" s="4">
        <v>22.792000000000002</v>
      </c>
      <c r="P168" s="4">
        <v>3.1909999999999998</v>
      </c>
      <c r="Q168" s="12">
        <v>19.600999999999999</v>
      </c>
      <c r="R168" s="5">
        <v>14885</v>
      </c>
      <c r="S168" s="4">
        <v>663.04</v>
      </c>
      <c r="T168" s="4">
        <v>-643.43899999999996</v>
      </c>
    </row>
    <row r="169" spans="1:20" ht="15" thickBot="1" x14ac:dyDescent="0.35">
      <c r="A169" s="2" t="s">
        <v>33</v>
      </c>
      <c r="B169" s="2" t="s">
        <v>74</v>
      </c>
      <c r="C169" s="2" t="s">
        <v>120</v>
      </c>
      <c r="D169" s="2" t="s">
        <v>413</v>
      </c>
      <c r="E169" s="2" t="s">
        <v>122</v>
      </c>
      <c r="F169" s="2" t="s">
        <v>414</v>
      </c>
      <c r="G169" s="2" t="s">
        <v>336</v>
      </c>
      <c r="H169" s="3">
        <v>44156</v>
      </c>
      <c r="I169" s="2" t="s">
        <v>95</v>
      </c>
      <c r="J169" s="2" t="s">
        <v>96</v>
      </c>
      <c r="K169" s="4">
        <v>2020</v>
      </c>
      <c r="L169" s="4">
        <v>2.2440000000000002</v>
      </c>
      <c r="M169" s="4" t="s">
        <v>124</v>
      </c>
      <c r="N169" s="4" t="s">
        <v>42</v>
      </c>
      <c r="O169" s="4">
        <v>51.612000000000002</v>
      </c>
      <c r="P169" s="4">
        <v>7.226</v>
      </c>
      <c r="Q169" s="12">
        <v>44.386000000000003</v>
      </c>
      <c r="R169" s="6">
        <v>46015</v>
      </c>
      <c r="S169" s="4">
        <v>718.08</v>
      </c>
      <c r="T169" s="4">
        <v>-673.69399999999996</v>
      </c>
    </row>
    <row r="170" spans="1:20" ht="15" thickBot="1" x14ac:dyDescent="0.35">
      <c r="A170" s="2" t="s">
        <v>49</v>
      </c>
      <c r="B170" s="2" t="s">
        <v>44</v>
      </c>
      <c r="C170" s="2" t="s">
        <v>35</v>
      </c>
      <c r="D170" s="2" t="s">
        <v>150</v>
      </c>
      <c r="E170" s="2" t="s">
        <v>37</v>
      </c>
      <c r="F170" s="2" t="s">
        <v>151</v>
      </c>
      <c r="G170" s="2" t="s">
        <v>336</v>
      </c>
      <c r="H170" s="3">
        <v>43911</v>
      </c>
      <c r="I170" s="2" t="s">
        <v>112</v>
      </c>
      <c r="J170" s="2" t="s">
        <v>40</v>
      </c>
      <c r="K170" s="4">
        <v>2020</v>
      </c>
      <c r="L170" s="4">
        <v>320</v>
      </c>
      <c r="M170" s="4" t="s">
        <v>41</v>
      </c>
      <c r="N170" s="4" t="s">
        <v>165</v>
      </c>
      <c r="O170" s="4">
        <v>9.6</v>
      </c>
      <c r="P170" s="4">
        <v>1.44</v>
      </c>
      <c r="Q170" s="12">
        <v>8.16</v>
      </c>
      <c r="R170" s="5">
        <v>19815</v>
      </c>
      <c r="S170" s="4">
        <v>3.84</v>
      </c>
      <c r="T170" s="4">
        <v>4.32</v>
      </c>
    </row>
    <row r="171" spans="1:20" ht="15" thickBot="1" x14ac:dyDescent="0.35">
      <c r="A171" s="2" t="s">
        <v>49</v>
      </c>
      <c r="B171" s="2" t="s">
        <v>44</v>
      </c>
      <c r="C171" s="2" t="s">
        <v>35</v>
      </c>
      <c r="D171" s="2" t="s">
        <v>150</v>
      </c>
      <c r="E171" s="2" t="s">
        <v>37</v>
      </c>
      <c r="F171" s="2" t="s">
        <v>151</v>
      </c>
      <c r="G171" s="2" t="s">
        <v>336</v>
      </c>
      <c r="H171" s="3">
        <v>44441</v>
      </c>
      <c r="I171" s="2" t="s">
        <v>27</v>
      </c>
      <c r="J171" s="2" t="s">
        <v>28</v>
      </c>
      <c r="K171" s="4">
        <v>2021</v>
      </c>
      <c r="L171" s="4">
        <v>2.4079999999999999</v>
      </c>
      <c r="M171" s="4" t="s">
        <v>41</v>
      </c>
      <c r="N171" s="4" t="s">
        <v>54</v>
      </c>
      <c r="O171" s="4" t="s">
        <v>415</v>
      </c>
      <c r="P171" s="4">
        <v>189.63</v>
      </c>
      <c r="Q171" s="12" t="s">
        <v>416</v>
      </c>
      <c r="R171" s="4" t="s">
        <v>417</v>
      </c>
      <c r="S171" s="4">
        <v>28.896000000000001</v>
      </c>
      <c r="T171" s="4" t="s">
        <v>418</v>
      </c>
    </row>
    <row r="172" spans="1:20" ht="15" thickBot="1" x14ac:dyDescent="0.35">
      <c r="A172" s="2" t="s">
        <v>49</v>
      </c>
      <c r="B172" s="2" t="s">
        <v>74</v>
      </c>
      <c r="C172" s="2" t="s">
        <v>35</v>
      </c>
      <c r="D172" s="2" t="s">
        <v>191</v>
      </c>
      <c r="E172" s="2" t="s">
        <v>37</v>
      </c>
      <c r="F172" s="2" t="s">
        <v>192</v>
      </c>
      <c r="G172" s="2" t="s">
        <v>336</v>
      </c>
      <c r="H172" s="3">
        <v>43862</v>
      </c>
      <c r="I172" s="2" t="s">
        <v>79</v>
      </c>
      <c r="J172" s="2" t="s">
        <v>40</v>
      </c>
      <c r="K172" s="4">
        <v>2020</v>
      </c>
      <c r="L172" s="4">
        <v>2.581</v>
      </c>
      <c r="M172" s="4" t="s">
        <v>41</v>
      </c>
      <c r="N172" s="4" t="s">
        <v>54</v>
      </c>
      <c r="O172" s="4" t="s">
        <v>419</v>
      </c>
      <c r="P172" s="4">
        <v>203.25399999999999</v>
      </c>
      <c r="Q172" s="12" t="s">
        <v>420</v>
      </c>
      <c r="R172" s="4" t="s">
        <v>421</v>
      </c>
      <c r="S172" s="4">
        <v>30.972000000000001</v>
      </c>
      <c r="T172" s="4" t="s">
        <v>422</v>
      </c>
    </row>
    <row r="173" spans="1:20" ht="29.4" thickBot="1" x14ac:dyDescent="0.35">
      <c r="A173" s="2" t="s">
        <v>43</v>
      </c>
      <c r="B173" s="2" t="s">
        <v>64</v>
      </c>
      <c r="C173" s="2" t="s">
        <v>69</v>
      </c>
      <c r="D173" s="2" t="s">
        <v>342</v>
      </c>
      <c r="E173" s="2" t="s">
        <v>71</v>
      </c>
      <c r="F173" s="2" t="s">
        <v>225</v>
      </c>
      <c r="G173" s="2" t="s">
        <v>336</v>
      </c>
      <c r="H173" s="3">
        <v>44360</v>
      </c>
      <c r="I173" s="2" t="s">
        <v>205</v>
      </c>
      <c r="J173" s="2" t="s">
        <v>92</v>
      </c>
      <c r="K173" s="4">
        <v>2021</v>
      </c>
      <c r="L173" s="4">
        <v>3.089</v>
      </c>
      <c r="M173" s="4" t="s">
        <v>73</v>
      </c>
      <c r="N173" s="4" t="s">
        <v>47</v>
      </c>
      <c r="O173" s="4" t="s">
        <v>423</v>
      </c>
      <c r="P173" s="4">
        <v>208.50800000000001</v>
      </c>
      <c r="Q173" s="12" t="s">
        <v>424</v>
      </c>
      <c r="R173" s="4" t="s">
        <v>425</v>
      </c>
      <c r="S173" s="4">
        <v>457.17200000000003</v>
      </c>
      <c r="T173" s="4">
        <v>724.37099999999998</v>
      </c>
    </row>
    <row r="174" spans="1:20" ht="15" thickBot="1" x14ac:dyDescent="0.35">
      <c r="A174" s="2" t="s">
        <v>20</v>
      </c>
      <c r="B174" s="2" t="s">
        <v>68</v>
      </c>
      <c r="C174" s="2" t="s">
        <v>69</v>
      </c>
      <c r="D174" s="2" t="s">
        <v>110</v>
      </c>
      <c r="E174" s="2" t="s">
        <v>71</v>
      </c>
      <c r="F174" s="2" t="s">
        <v>111</v>
      </c>
      <c r="G174" s="2" t="s">
        <v>336</v>
      </c>
      <c r="H174" s="3">
        <v>43892</v>
      </c>
      <c r="I174" s="2" t="s">
        <v>112</v>
      </c>
      <c r="J174" s="2" t="s">
        <v>40</v>
      </c>
      <c r="K174" s="4">
        <v>2020</v>
      </c>
      <c r="L174" s="4">
        <v>2.9260000000000002</v>
      </c>
      <c r="M174" s="4" t="s">
        <v>73</v>
      </c>
      <c r="N174" s="4" t="s">
        <v>30</v>
      </c>
      <c r="O174" s="4">
        <v>550.08799999999997</v>
      </c>
      <c r="P174" s="4">
        <v>82.513000000000005</v>
      </c>
      <c r="Q174" s="12">
        <v>467.57499999999999</v>
      </c>
      <c r="R174" s="4" t="s">
        <v>426</v>
      </c>
      <c r="S174" s="4">
        <v>433.048</v>
      </c>
      <c r="T174" s="4">
        <v>34.527000000000001</v>
      </c>
    </row>
    <row r="175" spans="1:20" ht="15" thickBot="1" x14ac:dyDescent="0.35">
      <c r="A175" s="2" t="s">
        <v>49</v>
      </c>
      <c r="B175" s="2" t="s">
        <v>21</v>
      </c>
      <c r="C175" s="2" t="s">
        <v>75</v>
      </c>
      <c r="D175" s="2" t="s">
        <v>168</v>
      </c>
      <c r="E175" s="2" t="s">
        <v>77</v>
      </c>
      <c r="F175" s="2" t="s">
        <v>169</v>
      </c>
      <c r="G175" s="2" t="s">
        <v>336</v>
      </c>
      <c r="H175" s="3">
        <v>44131</v>
      </c>
      <c r="I175" s="2" t="s">
        <v>115</v>
      </c>
      <c r="J175" s="2" t="s">
        <v>96</v>
      </c>
      <c r="K175" s="4">
        <v>2020</v>
      </c>
      <c r="L175" s="4">
        <v>320</v>
      </c>
      <c r="M175" s="4" t="s">
        <v>80</v>
      </c>
      <c r="N175" s="4" t="s">
        <v>165</v>
      </c>
      <c r="O175" s="4">
        <v>9.6</v>
      </c>
      <c r="P175" s="4">
        <v>1.44</v>
      </c>
      <c r="Q175" s="12">
        <v>8.16</v>
      </c>
      <c r="R175" s="5">
        <v>19815</v>
      </c>
      <c r="S175" s="4">
        <v>98.56</v>
      </c>
      <c r="T175" s="4">
        <v>-90.4</v>
      </c>
    </row>
    <row r="176" spans="1:20" ht="15" thickBot="1" x14ac:dyDescent="0.35">
      <c r="A176" s="2" t="s">
        <v>20</v>
      </c>
      <c r="B176" s="2" t="s">
        <v>21</v>
      </c>
      <c r="C176" s="2" t="s">
        <v>75</v>
      </c>
      <c r="D176" s="2" t="s">
        <v>427</v>
      </c>
      <c r="E176" s="2" t="s">
        <v>77</v>
      </c>
      <c r="F176" s="2" t="s">
        <v>190</v>
      </c>
      <c r="G176" s="2" t="s">
        <v>336</v>
      </c>
      <c r="H176" s="3">
        <v>43883</v>
      </c>
      <c r="I176" s="2" t="s">
        <v>79</v>
      </c>
      <c r="J176" s="2" t="s">
        <v>40</v>
      </c>
      <c r="K176" s="4">
        <v>2020</v>
      </c>
      <c r="L176" s="4">
        <v>3.5449999999999999</v>
      </c>
      <c r="M176" s="4" t="s">
        <v>80</v>
      </c>
      <c r="N176" s="4" t="s">
        <v>30</v>
      </c>
      <c r="O176" s="4">
        <v>666.46</v>
      </c>
      <c r="P176" s="4">
        <v>99.968999999999994</v>
      </c>
      <c r="Q176" s="12">
        <v>566.49099999999999</v>
      </c>
      <c r="R176" s="4" t="s">
        <v>428</v>
      </c>
      <c r="S176" s="4" t="s">
        <v>429</v>
      </c>
      <c r="T176" s="4">
        <v>-525.36900000000003</v>
      </c>
    </row>
    <row r="177" spans="1:20" ht="15" thickBot="1" x14ac:dyDescent="0.35">
      <c r="A177" s="2" t="s">
        <v>49</v>
      </c>
      <c r="B177" s="2" t="s">
        <v>34</v>
      </c>
      <c r="C177" s="2" t="s">
        <v>82</v>
      </c>
      <c r="D177" s="2" t="s">
        <v>197</v>
      </c>
      <c r="E177" s="2" t="s">
        <v>84</v>
      </c>
      <c r="F177" s="2" t="s">
        <v>198</v>
      </c>
      <c r="G177" s="2" t="s">
        <v>26</v>
      </c>
      <c r="H177" s="3">
        <v>43892</v>
      </c>
      <c r="I177" s="2" t="s">
        <v>112</v>
      </c>
      <c r="J177" s="2" t="s">
        <v>40</v>
      </c>
      <c r="K177" s="4">
        <v>2020</v>
      </c>
      <c r="L177" s="4">
        <v>1.9419999999999999</v>
      </c>
      <c r="M177" s="4" t="s">
        <v>87</v>
      </c>
      <c r="N177" s="4" t="s">
        <v>165</v>
      </c>
      <c r="O177" s="4">
        <v>58.26</v>
      </c>
      <c r="P177" s="4" t="s">
        <v>31</v>
      </c>
      <c r="Q177" s="12">
        <v>58.26</v>
      </c>
      <c r="R177" s="4" t="s">
        <v>430</v>
      </c>
      <c r="S177" s="4">
        <v>7.7679999999999998</v>
      </c>
      <c r="T177" s="4">
        <v>50.491999999999997</v>
      </c>
    </row>
    <row r="178" spans="1:20" ht="15" thickBot="1" x14ac:dyDescent="0.35">
      <c r="A178" s="2" t="s">
        <v>49</v>
      </c>
      <c r="B178" s="2" t="s">
        <v>74</v>
      </c>
      <c r="C178" s="2" t="s">
        <v>82</v>
      </c>
      <c r="D178" s="2" t="s">
        <v>219</v>
      </c>
      <c r="E178" s="2" t="s">
        <v>84</v>
      </c>
      <c r="F178" s="2" t="s">
        <v>220</v>
      </c>
      <c r="G178" s="2" t="s">
        <v>26</v>
      </c>
      <c r="H178" s="3">
        <v>43898</v>
      </c>
      <c r="I178" s="2" t="s">
        <v>112</v>
      </c>
      <c r="J178" s="2" t="s">
        <v>40</v>
      </c>
      <c r="K178" s="4">
        <v>2020</v>
      </c>
      <c r="L178" s="4">
        <v>1.585</v>
      </c>
      <c r="M178" s="4" t="s">
        <v>87</v>
      </c>
      <c r="N178" s="4" t="s">
        <v>165</v>
      </c>
      <c r="O178" s="4">
        <v>47.55</v>
      </c>
      <c r="P178" s="4" t="s">
        <v>31</v>
      </c>
      <c r="Q178" s="12">
        <v>47.55</v>
      </c>
      <c r="R178" s="4" t="s">
        <v>431</v>
      </c>
      <c r="S178" s="4">
        <v>6.34</v>
      </c>
      <c r="T178" s="4">
        <v>41.21</v>
      </c>
    </row>
    <row r="179" spans="1:20" ht="15" thickBot="1" x14ac:dyDescent="0.35">
      <c r="A179" s="2" t="s">
        <v>33</v>
      </c>
      <c r="B179" s="2" t="s">
        <v>34</v>
      </c>
      <c r="C179" s="2" t="s">
        <v>82</v>
      </c>
      <c r="D179" s="2" t="s">
        <v>432</v>
      </c>
      <c r="E179" s="2" t="s">
        <v>84</v>
      </c>
      <c r="F179" s="2" t="s">
        <v>251</v>
      </c>
      <c r="G179" s="2" t="s">
        <v>26</v>
      </c>
      <c r="H179" s="3">
        <v>44508</v>
      </c>
      <c r="I179" s="2" t="s">
        <v>95</v>
      </c>
      <c r="J179" s="2" t="s">
        <v>96</v>
      </c>
      <c r="K179" s="4">
        <v>2021</v>
      </c>
      <c r="L179" s="4">
        <v>2.6139999999999999</v>
      </c>
      <c r="M179" s="4" t="s">
        <v>87</v>
      </c>
      <c r="N179" s="4" t="s">
        <v>42</v>
      </c>
      <c r="O179" s="4">
        <v>60.122</v>
      </c>
      <c r="P179" s="4" t="s">
        <v>31</v>
      </c>
      <c r="Q179" s="12">
        <v>60.122</v>
      </c>
      <c r="R179" s="4" t="s">
        <v>433</v>
      </c>
      <c r="S179" s="4">
        <v>10.456</v>
      </c>
      <c r="T179" s="4">
        <v>49.665999999999997</v>
      </c>
    </row>
    <row r="180" spans="1:20" ht="15" thickBot="1" x14ac:dyDescent="0.35">
      <c r="A180" s="2" t="s">
        <v>33</v>
      </c>
      <c r="B180" s="2" t="s">
        <v>44</v>
      </c>
      <c r="C180" s="2" t="s">
        <v>82</v>
      </c>
      <c r="D180" s="2" t="s">
        <v>434</v>
      </c>
      <c r="E180" s="2" t="s">
        <v>84</v>
      </c>
      <c r="F180" s="2" t="s">
        <v>435</v>
      </c>
      <c r="G180" s="2" t="s">
        <v>26</v>
      </c>
      <c r="H180" s="3">
        <v>43969</v>
      </c>
      <c r="I180" s="2" t="s">
        <v>142</v>
      </c>
      <c r="J180" s="2" t="s">
        <v>92</v>
      </c>
      <c r="K180" s="4">
        <v>2020</v>
      </c>
      <c r="L180" s="4">
        <v>1.0660000000000001</v>
      </c>
      <c r="M180" s="4" t="s">
        <v>87</v>
      </c>
      <c r="N180" s="4" t="s">
        <v>42</v>
      </c>
      <c r="O180" s="4">
        <v>24.518000000000001</v>
      </c>
      <c r="P180" s="4" t="s">
        <v>31</v>
      </c>
      <c r="Q180" s="12">
        <v>24.518000000000001</v>
      </c>
      <c r="R180" s="4" t="s">
        <v>436</v>
      </c>
      <c r="S180" s="4">
        <v>4.2640000000000002</v>
      </c>
      <c r="T180" s="4">
        <v>20.254000000000001</v>
      </c>
    </row>
    <row r="181" spans="1:20" ht="15" thickBot="1" x14ac:dyDescent="0.35">
      <c r="A181" s="2" t="s">
        <v>33</v>
      </c>
      <c r="B181" s="2" t="s">
        <v>50</v>
      </c>
      <c r="C181" s="2" t="s">
        <v>82</v>
      </c>
      <c r="D181" s="2" t="s">
        <v>437</v>
      </c>
      <c r="E181" s="2" t="s">
        <v>84</v>
      </c>
      <c r="F181" s="2" t="s">
        <v>335</v>
      </c>
      <c r="G181" s="2" t="s">
        <v>26</v>
      </c>
      <c r="H181" s="3">
        <v>44455</v>
      </c>
      <c r="I181" s="2" t="s">
        <v>27</v>
      </c>
      <c r="J181" s="2" t="s">
        <v>28</v>
      </c>
      <c r="K181" s="4">
        <v>2021</v>
      </c>
      <c r="L181" s="4">
        <v>2.964</v>
      </c>
      <c r="M181" s="4" t="s">
        <v>87</v>
      </c>
      <c r="N181" s="4" t="s">
        <v>42</v>
      </c>
      <c r="O181" s="4">
        <v>68.171999999999997</v>
      </c>
      <c r="P181" s="4" t="s">
        <v>31</v>
      </c>
      <c r="Q181" s="12">
        <v>68.171999999999997</v>
      </c>
      <c r="R181" s="4" t="s">
        <v>438</v>
      </c>
      <c r="S181" s="4">
        <v>11.856</v>
      </c>
      <c r="T181" s="4">
        <v>56.316000000000003</v>
      </c>
    </row>
    <row r="182" spans="1:20" ht="15" thickBot="1" x14ac:dyDescent="0.35">
      <c r="A182" s="2" t="s">
        <v>49</v>
      </c>
      <c r="B182" s="2" t="s">
        <v>74</v>
      </c>
      <c r="C182" s="2" t="s">
        <v>82</v>
      </c>
      <c r="D182" s="2" t="s">
        <v>219</v>
      </c>
      <c r="E182" s="2" t="s">
        <v>84</v>
      </c>
      <c r="F182" s="2" t="s">
        <v>220</v>
      </c>
      <c r="G182" s="2" t="s">
        <v>26</v>
      </c>
      <c r="H182" s="3">
        <v>44207</v>
      </c>
      <c r="I182" s="2" t="s">
        <v>39</v>
      </c>
      <c r="J182" s="2" t="s">
        <v>40</v>
      </c>
      <c r="K182" s="4">
        <v>2021</v>
      </c>
      <c r="L182" s="4">
        <v>1.8160000000000001</v>
      </c>
      <c r="M182" s="4" t="s">
        <v>87</v>
      </c>
      <c r="N182" s="4" t="s">
        <v>54</v>
      </c>
      <c r="O182" s="4">
        <v>953.4</v>
      </c>
      <c r="P182" s="4" t="s">
        <v>31</v>
      </c>
      <c r="Q182" s="12">
        <v>953.4</v>
      </c>
      <c r="R182" s="4" t="s">
        <v>439</v>
      </c>
      <c r="S182" s="4">
        <v>7.2640000000000002</v>
      </c>
      <c r="T182" s="4">
        <v>946.13599999999997</v>
      </c>
    </row>
    <row r="183" spans="1:20" ht="15" thickBot="1" x14ac:dyDescent="0.35">
      <c r="A183" s="2" t="s">
        <v>33</v>
      </c>
      <c r="B183" s="2" t="s">
        <v>59</v>
      </c>
      <c r="C183" s="2" t="s">
        <v>22</v>
      </c>
      <c r="D183" s="2" t="s">
        <v>440</v>
      </c>
      <c r="E183" s="2" t="s">
        <v>24</v>
      </c>
      <c r="F183" s="2" t="s">
        <v>338</v>
      </c>
      <c r="G183" s="2" t="s">
        <v>26</v>
      </c>
      <c r="H183" s="3">
        <v>44492</v>
      </c>
      <c r="I183" s="2" t="s">
        <v>115</v>
      </c>
      <c r="J183" s="2" t="s">
        <v>96</v>
      </c>
      <c r="K183" s="4">
        <v>2021</v>
      </c>
      <c r="L183" s="4">
        <v>1.105</v>
      </c>
      <c r="M183" s="4" t="s">
        <v>29</v>
      </c>
      <c r="N183" s="4" t="s">
        <v>42</v>
      </c>
      <c r="O183" s="4">
        <v>25.414999999999999</v>
      </c>
      <c r="P183" s="4" t="s">
        <v>31</v>
      </c>
      <c r="Q183" s="12">
        <v>25.414999999999999</v>
      </c>
      <c r="R183" s="4" t="s">
        <v>441</v>
      </c>
      <c r="S183" s="4">
        <v>6.63</v>
      </c>
      <c r="T183" s="4">
        <v>18.785</v>
      </c>
    </row>
    <row r="184" spans="1:20" ht="29.4" thickBot="1" x14ac:dyDescent="0.35">
      <c r="A184" s="2" t="s">
        <v>58</v>
      </c>
      <c r="B184" s="2" t="s">
        <v>64</v>
      </c>
      <c r="C184" s="2" t="s">
        <v>22</v>
      </c>
      <c r="D184" s="2" t="s">
        <v>442</v>
      </c>
      <c r="E184" s="2" t="s">
        <v>24</v>
      </c>
      <c r="F184" s="2" t="s">
        <v>225</v>
      </c>
      <c r="G184" s="2" t="s">
        <v>26</v>
      </c>
      <c r="H184" s="3">
        <v>44128</v>
      </c>
      <c r="I184" s="2" t="s">
        <v>115</v>
      </c>
      <c r="J184" s="2" t="s">
        <v>96</v>
      </c>
      <c r="K184" s="4">
        <v>2020</v>
      </c>
      <c r="L184" s="4">
        <v>3.0219999999999998</v>
      </c>
      <c r="M184" s="4" t="s">
        <v>29</v>
      </c>
      <c r="N184" s="4" t="s">
        <v>63</v>
      </c>
      <c r="O184" s="4">
        <v>54.396000000000001</v>
      </c>
      <c r="P184" s="4" t="s">
        <v>31</v>
      </c>
      <c r="Q184" s="12">
        <v>54.396000000000001</v>
      </c>
      <c r="R184" s="4" t="s">
        <v>443</v>
      </c>
      <c r="S184" s="4">
        <v>18.132000000000001</v>
      </c>
      <c r="T184" s="4">
        <v>36.264000000000003</v>
      </c>
    </row>
    <row r="185" spans="1:20" ht="15" thickBot="1" x14ac:dyDescent="0.35">
      <c r="A185" s="2" t="s">
        <v>49</v>
      </c>
      <c r="B185" s="2" t="s">
        <v>44</v>
      </c>
      <c r="C185" s="2" t="s">
        <v>22</v>
      </c>
      <c r="D185" s="2" t="s">
        <v>253</v>
      </c>
      <c r="E185" s="2" t="s">
        <v>24</v>
      </c>
      <c r="F185" s="2" t="s">
        <v>254</v>
      </c>
      <c r="G185" s="2" t="s">
        <v>26</v>
      </c>
      <c r="H185" s="3">
        <v>44198</v>
      </c>
      <c r="I185" s="2" t="s">
        <v>39</v>
      </c>
      <c r="J185" s="2" t="s">
        <v>40</v>
      </c>
      <c r="K185" s="4">
        <v>2021</v>
      </c>
      <c r="L185" s="4">
        <v>2.2789999999999999</v>
      </c>
      <c r="M185" s="4" t="s">
        <v>29</v>
      </c>
      <c r="N185" s="4" t="s">
        <v>165</v>
      </c>
      <c r="O185" s="4">
        <v>68.37</v>
      </c>
      <c r="P185" s="4" t="s">
        <v>31</v>
      </c>
      <c r="Q185" s="12">
        <v>68.37</v>
      </c>
      <c r="R185" s="4" t="s">
        <v>444</v>
      </c>
      <c r="S185" s="4">
        <v>13.673999999999999</v>
      </c>
      <c r="T185" s="4">
        <v>54.695999999999998</v>
      </c>
    </row>
    <row r="186" spans="1:20" ht="29.4" thickBot="1" x14ac:dyDescent="0.35">
      <c r="A186" s="2" t="s">
        <v>58</v>
      </c>
      <c r="B186" s="2" t="s">
        <v>68</v>
      </c>
      <c r="C186" s="2" t="s">
        <v>22</v>
      </c>
      <c r="D186" s="2" t="s">
        <v>445</v>
      </c>
      <c r="E186" s="2" t="s">
        <v>24</v>
      </c>
      <c r="F186" s="2" t="s">
        <v>230</v>
      </c>
      <c r="G186" s="2" t="s">
        <v>26</v>
      </c>
      <c r="H186" s="3">
        <v>43904</v>
      </c>
      <c r="I186" s="2" t="s">
        <v>112</v>
      </c>
      <c r="J186" s="2" t="s">
        <v>40</v>
      </c>
      <c r="K186" s="4">
        <v>2020</v>
      </c>
      <c r="L186" s="4">
        <v>1.8540000000000001</v>
      </c>
      <c r="M186" s="4" t="s">
        <v>29</v>
      </c>
      <c r="N186" s="4" t="s">
        <v>63</v>
      </c>
      <c r="O186" s="4">
        <v>33.372</v>
      </c>
      <c r="P186" s="4" t="s">
        <v>31</v>
      </c>
      <c r="Q186" s="12">
        <v>33.372</v>
      </c>
      <c r="R186" s="4" t="s">
        <v>446</v>
      </c>
      <c r="S186" s="4">
        <v>11.124000000000001</v>
      </c>
      <c r="T186" s="4">
        <v>22.248000000000001</v>
      </c>
    </row>
    <row r="187" spans="1:20" ht="15" thickBot="1" x14ac:dyDescent="0.35">
      <c r="A187" s="2" t="s">
        <v>33</v>
      </c>
      <c r="B187" s="2" t="s">
        <v>74</v>
      </c>
      <c r="C187" s="2" t="s">
        <v>22</v>
      </c>
      <c r="D187" s="2" t="s">
        <v>447</v>
      </c>
      <c r="E187" s="2" t="s">
        <v>24</v>
      </c>
      <c r="F187" s="2" t="s">
        <v>352</v>
      </c>
      <c r="G187" s="2" t="s">
        <v>26</v>
      </c>
      <c r="H187" s="3">
        <v>44041</v>
      </c>
      <c r="I187" s="2" t="s">
        <v>62</v>
      </c>
      <c r="J187" s="2" t="s">
        <v>28</v>
      </c>
      <c r="K187" s="4">
        <v>2020</v>
      </c>
      <c r="L187" s="4">
        <v>2.964</v>
      </c>
      <c r="M187" s="4" t="s">
        <v>29</v>
      </c>
      <c r="N187" s="4" t="s">
        <v>42</v>
      </c>
      <c r="O187" s="4">
        <v>68.171999999999997</v>
      </c>
      <c r="P187" s="4" t="s">
        <v>31</v>
      </c>
      <c r="Q187" s="12">
        <v>68.171999999999997</v>
      </c>
      <c r="R187" s="4" t="s">
        <v>438</v>
      </c>
      <c r="S187" s="4">
        <v>17.783999999999999</v>
      </c>
      <c r="T187" s="4">
        <v>50.387999999999998</v>
      </c>
    </row>
    <row r="188" spans="1:20" ht="15" thickBot="1" x14ac:dyDescent="0.35">
      <c r="A188" s="2" t="s">
        <v>20</v>
      </c>
      <c r="B188" s="2" t="s">
        <v>21</v>
      </c>
      <c r="C188" s="2" t="s">
        <v>22</v>
      </c>
      <c r="D188" s="2" t="s">
        <v>23</v>
      </c>
      <c r="E188" s="2" t="s">
        <v>24</v>
      </c>
      <c r="F188" s="2" t="s">
        <v>25</v>
      </c>
      <c r="G188" s="2" t="s">
        <v>26</v>
      </c>
      <c r="H188" s="3">
        <v>44252</v>
      </c>
      <c r="I188" s="2" t="s">
        <v>79</v>
      </c>
      <c r="J188" s="2" t="s">
        <v>40</v>
      </c>
      <c r="K188" s="4">
        <v>2021</v>
      </c>
      <c r="L188" s="4">
        <v>3.1989999999999998</v>
      </c>
      <c r="M188" s="4" t="s">
        <v>29</v>
      </c>
      <c r="N188" s="4" t="s">
        <v>30</v>
      </c>
      <c r="O188" s="4">
        <v>601.41200000000003</v>
      </c>
      <c r="P188" s="4" t="s">
        <v>31</v>
      </c>
      <c r="Q188" s="12">
        <v>601.41200000000003</v>
      </c>
      <c r="R188" s="4" t="s">
        <v>448</v>
      </c>
      <c r="S188" s="4">
        <v>19.193999999999999</v>
      </c>
      <c r="T188" s="4">
        <v>582.21799999999996</v>
      </c>
    </row>
    <row r="189" spans="1:20" ht="29.4" thickBot="1" x14ac:dyDescent="0.35">
      <c r="A189" s="2" t="s">
        <v>43</v>
      </c>
      <c r="B189" s="2" t="s">
        <v>34</v>
      </c>
      <c r="C189" s="2" t="s">
        <v>22</v>
      </c>
      <c r="D189" s="2" t="s">
        <v>224</v>
      </c>
      <c r="E189" s="2" t="s">
        <v>24</v>
      </c>
      <c r="F189" s="2" t="s">
        <v>225</v>
      </c>
      <c r="G189" s="2" t="s">
        <v>26</v>
      </c>
      <c r="H189" s="3">
        <v>44240</v>
      </c>
      <c r="I189" s="2" t="s">
        <v>79</v>
      </c>
      <c r="J189" s="2" t="s">
        <v>40</v>
      </c>
      <c r="K189" s="4">
        <v>2021</v>
      </c>
      <c r="L189" s="4">
        <v>1.1499999999999999</v>
      </c>
      <c r="M189" s="4" t="s">
        <v>29</v>
      </c>
      <c r="N189" s="4" t="s">
        <v>47</v>
      </c>
      <c r="O189" s="4">
        <v>517.5</v>
      </c>
      <c r="P189" s="4" t="s">
        <v>31</v>
      </c>
      <c r="Q189" s="12">
        <v>517.5</v>
      </c>
      <c r="R189" s="4" t="s">
        <v>449</v>
      </c>
      <c r="S189" s="4">
        <v>6.9</v>
      </c>
      <c r="T189" s="4">
        <v>510.6</v>
      </c>
    </row>
    <row r="190" spans="1:20" ht="15" thickBot="1" x14ac:dyDescent="0.35">
      <c r="A190" s="2" t="s">
        <v>49</v>
      </c>
      <c r="B190" s="2" t="s">
        <v>59</v>
      </c>
      <c r="C190" s="2" t="s">
        <v>22</v>
      </c>
      <c r="D190" s="2" t="s">
        <v>181</v>
      </c>
      <c r="E190" s="2" t="s">
        <v>24</v>
      </c>
      <c r="F190" s="2" t="s">
        <v>182</v>
      </c>
      <c r="G190" s="2" t="s">
        <v>26</v>
      </c>
      <c r="H190" s="3">
        <v>44221</v>
      </c>
      <c r="I190" s="2" t="s">
        <v>39</v>
      </c>
      <c r="J190" s="2" t="s">
        <v>40</v>
      </c>
      <c r="K190" s="4">
        <v>2021</v>
      </c>
      <c r="L190" s="4">
        <v>2.5750000000000002</v>
      </c>
      <c r="M190" s="4" t="s">
        <v>29</v>
      </c>
      <c r="N190" s="4" t="s">
        <v>116</v>
      </c>
      <c r="O190" s="4">
        <v>28.324999999999999</v>
      </c>
      <c r="P190" s="4" t="s">
        <v>31</v>
      </c>
      <c r="Q190" s="12">
        <v>28.324999999999999</v>
      </c>
      <c r="R190" s="6">
        <v>45703</v>
      </c>
      <c r="S190" s="4">
        <v>15.45</v>
      </c>
      <c r="T190" s="4">
        <v>12.875</v>
      </c>
    </row>
    <row r="191" spans="1:20" ht="15" thickBot="1" x14ac:dyDescent="0.35">
      <c r="A191" s="2" t="s">
        <v>33</v>
      </c>
      <c r="B191" s="2" t="s">
        <v>21</v>
      </c>
      <c r="C191" s="2" t="s">
        <v>22</v>
      </c>
      <c r="D191" s="2" t="s">
        <v>450</v>
      </c>
      <c r="E191" s="2" t="s">
        <v>24</v>
      </c>
      <c r="F191" s="2" t="s">
        <v>354</v>
      </c>
      <c r="G191" s="2" t="s">
        <v>26</v>
      </c>
      <c r="H191" s="3">
        <v>43899</v>
      </c>
      <c r="I191" s="2" t="s">
        <v>112</v>
      </c>
      <c r="J191" s="2" t="s">
        <v>40</v>
      </c>
      <c r="K191" s="4">
        <v>2020</v>
      </c>
      <c r="L191" s="4">
        <v>738</v>
      </c>
      <c r="M191" s="4" t="s">
        <v>29</v>
      </c>
      <c r="N191" s="4" t="s">
        <v>42</v>
      </c>
      <c r="O191" s="4">
        <v>16.974</v>
      </c>
      <c r="P191" s="4" t="s">
        <v>31</v>
      </c>
      <c r="Q191" s="12">
        <v>16.974</v>
      </c>
      <c r="R191" s="5">
        <v>45170</v>
      </c>
      <c r="S191" s="4">
        <v>4.4279999999999999</v>
      </c>
      <c r="T191" s="4">
        <v>12.545999999999999</v>
      </c>
    </row>
    <row r="192" spans="1:20" ht="15" thickBot="1" x14ac:dyDescent="0.35">
      <c r="A192" s="2" t="s">
        <v>49</v>
      </c>
      <c r="B192" s="2" t="s">
        <v>50</v>
      </c>
      <c r="C192" s="2" t="s">
        <v>35</v>
      </c>
      <c r="D192" s="2" t="s">
        <v>51</v>
      </c>
      <c r="E192" s="2" t="s">
        <v>37</v>
      </c>
      <c r="F192" s="2" t="s">
        <v>52</v>
      </c>
      <c r="G192" s="2" t="s">
        <v>26</v>
      </c>
      <c r="H192" s="3">
        <v>43951</v>
      </c>
      <c r="I192" s="2" t="s">
        <v>91</v>
      </c>
      <c r="J192" s="2" t="s">
        <v>92</v>
      </c>
      <c r="K192" s="4">
        <v>2020</v>
      </c>
      <c r="L192" s="4">
        <v>350</v>
      </c>
      <c r="M192" s="4" t="s">
        <v>41</v>
      </c>
      <c r="N192" s="4" t="s">
        <v>165</v>
      </c>
      <c r="O192" s="4">
        <v>10.5</v>
      </c>
      <c r="P192" s="4" t="s">
        <v>31</v>
      </c>
      <c r="Q192" s="12">
        <v>10.5</v>
      </c>
      <c r="R192" s="5">
        <v>30803</v>
      </c>
      <c r="S192" s="4">
        <v>4.2</v>
      </c>
      <c r="T192" s="4">
        <v>6.3</v>
      </c>
    </row>
    <row r="193" spans="1:20" ht="15" thickBot="1" x14ac:dyDescent="0.35">
      <c r="A193" s="2" t="s">
        <v>33</v>
      </c>
      <c r="B193" s="2" t="s">
        <v>50</v>
      </c>
      <c r="C193" s="2" t="s">
        <v>35</v>
      </c>
      <c r="D193" s="2" t="s">
        <v>202</v>
      </c>
      <c r="E193" s="2" t="s">
        <v>37</v>
      </c>
      <c r="F193" s="2" t="s">
        <v>203</v>
      </c>
      <c r="G193" s="2" t="s">
        <v>26</v>
      </c>
      <c r="H193" s="3">
        <v>44290</v>
      </c>
      <c r="I193" s="2" t="s">
        <v>91</v>
      </c>
      <c r="J193" s="2" t="s">
        <v>92</v>
      </c>
      <c r="K193" s="4">
        <v>2021</v>
      </c>
      <c r="L193" s="4">
        <v>1.169</v>
      </c>
      <c r="M193" s="4" t="s">
        <v>41</v>
      </c>
      <c r="N193" s="4" t="s">
        <v>42</v>
      </c>
      <c r="O193" s="4">
        <v>26.887</v>
      </c>
      <c r="P193" s="4" t="s">
        <v>31</v>
      </c>
      <c r="Q193" s="12">
        <v>26.887</v>
      </c>
      <c r="R193" s="4" t="s">
        <v>451</v>
      </c>
      <c r="S193" s="4">
        <v>14.028</v>
      </c>
      <c r="T193" s="4">
        <v>12.859</v>
      </c>
    </row>
    <row r="194" spans="1:20" ht="29.4" thickBot="1" x14ac:dyDescent="0.35">
      <c r="A194" s="2" t="s">
        <v>58</v>
      </c>
      <c r="B194" s="2" t="s">
        <v>50</v>
      </c>
      <c r="C194" s="2" t="s">
        <v>35</v>
      </c>
      <c r="D194" s="2" t="s">
        <v>255</v>
      </c>
      <c r="E194" s="2" t="s">
        <v>37</v>
      </c>
      <c r="F194" s="2" t="s">
        <v>198</v>
      </c>
      <c r="G194" s="2" t="s">
        <v>26</v>
      </c>
      <c r="H194" s="3">
        <v>44504</v>
      </c>
      <c r="I194" s="2" t="s">
        <v>95</v>
      </c>
      <c r="J194" s="2" t="s">
        <v>96</v>
      </c>
      <c r="K194" s="4">
        <v>2021</v>
      </c>
      <c r="L194" s="4">
        <v>3.0219999999999998</v>
      </c>
      <c r="M194" s="4" t="s">
        <v>41</v>
      </c>
      <c r="N194" s="4" t="s">
        <v>63</v>
      </c>
      <c r="O194" s="4">
        <v>54.396000000000001</v>
      </c>
      <c r="P194" s="4" t="s">
        <v>31</v>
      </c>
      <c r="Q194" s="12">
        <v>54.396000000000001</v>
      </c>
      <c r="R194" s="4" t="s">
        <v>443</v>
      </c>
      <c r="S194" s="4">
        <v>36.264000000000003</v>
      </c>
      <c r="T194" s="4">
        <v>18.132000000000001</v>
      </c>
    </row>
    <row r="195" spans="1:20" ht="15" thickBot="1" x14ac:dyDescent="0.35">
      <c r="A195" s="2" t="s">
        <v>49</v>
      </c>
      <c r="B195" s="2" t="s">
        <v>74</v>
      </c>
      <c r="C195" s="2" t="s">
        <v>35</v>
      </c>
      <c r="D195" s="2" t="s">
        <v>293</v>
      </c>
      <c r="E195" s="2" t="s">
        <v>37</v>
      </c>
      <c r="F195" s="2" t="s">
        <v>294</v>
      </c>
      <c r="G195" s="2" t="s">
        <v>26</v>
      </c>
      <c r="H195" s="3">
        <v>44397</v>
      </c>
      <c r="I195" s="2" t="s">
        <v>62</v>
      </c>
      <c r="J195" s="2" t="s">
        <v>28</v>
      </c>
      <c r="K195" s="4">
        <v>2021</v>
      </c>
      <c r="L195" s="4">
        <v>1.2070000000000001</v>
      </c>
      <c r="M195" s="4" t="s">
        <v>41</v>
      </c>
      <c r="N195" s="4" t="s">
        <v>54</v>
      </c>
      <c r="O195" s="4">
        <v>633.67499999999995</v>
      </c>
      <c r="P195" s="4" t="s">
        <v>31</v>
      </c>
      <c r="Q195" s="12">
        <v>633.67499999999995</v>
      </c>
      <c r="R195" s="4" t="s">
        <v>452</v>
      </c>
      <c r="S195" s="4">
        <v>14.484</v>
      </c>
      <c r="T195" s="4">
        <v>619.19100000000003</v>
      </c>
    </row>
    <row r="196" spans="1:20" ht="29.4" thickBot="1" x14ac:dyDescent="0.35">
      <c r="A196" s="2" t="s">
        <v>58</v>
      </c>
      <c r="B196" s="2" t="s">
        <v>64</v>
      </c>
      <c r="C196" s="2" t="s">
        <v>35</v>
      </c>
      <c r="D196" s="2" t="s">
        <v>108</v>
      </c>
      <c r="E196" s="2" t="s">
        <v>37</v>
      </c>
      <c r="F196" s="2" t="s">
        <v>109</v>
      </c>
      <c r="G196" s="2" t="s">
        <v>26</v>
      </c>
      <c r="H196" s="3">
        <v>43975</v>
      </c>
      <c r="I196" s="2" t="s">
        <v>142</v>
      </c>
      <c r="J196" s="2" t="s">
        <v>92</v>
      </c>
      <c r="K196" s="4">
        <v>2020</v>
      </c>
      <c r="L196" s="4">
        <v>440</v>
      </c>
      <c r="M196" s="4" t="s">
        <v>41</v>
      </c>
      <c r="N196" s="4" t="s">
        <v>63</v>
      </c>
      <c r="O196" s="4">
        <v>7.92</v>
      </c>
      <c r="P196" s="4" t="s">
        <v>31</v>
      </c>
      <c r="Q196" s="12">
        <v>7.92</v>
      </c>
      <c r="R196" s="5">
        <v>14702</v>
      </c>
      <c r="S196" s="4">
        <v>5.28</v>
      </c>
      <c r="T196" s="4">
        <v>2.64</v>
      </c>
    </row>
    <row r="197" spans="1:20" ht="15" thickBot="1" x14ac:dyDescent="0.35">
      <c r="A197" s="2" t="s">
        <v>49</v>
      </c>
      <c r="B197" s="2" t="s">
        <v>74</v>
      </c>
      <c r="C197" s="2" t="s">
        <v>35</v>
      </c>
      <c r="D197" s="2" t="s">
        <v>191</v>
      </c>
      <c r="E197" s="2" t="s">
        <v>37</v>
      </c>
      <c r="F197" s="2" t="s">
        <v>192</v>
      </c>
      <c r="G197" s="2" t="s">
        <v>26</v>
      </c>
      <c r="H197" s="3">
        <v>44072</v>
      </c>
      <c r="I197" s="2" t="s">
        <v>53</v>
      </c>
      <c r="J197" s="2" t="s">
        <v>28</v>
      </c>
      <c r="K197" s="4">
        <v>2020</v>
      </c>
      <c r="L197" s="4">
        <v>1.06</v>
      </c>
      <c r="M197" s="4" t="s">
        <v>41</v>
      </c>
      <c r="N197" s="4" t="s">
        <v>116</v>
      </c>
      <c r="O197" s="4">
        <v>11.66</v>
      </c>
      <c r="P197" s="4" t="s">
        <v>31</v>
      </c>
      <c r="Q197" s="12">
        <v>11.66</v>
      </c>
      <c r="R197" s="5">
        <v>43252</v>
      </c>
      <c r="S197" s="4">
        <v>12.72</v>
      </c>
      <c r="T197" s="4">
        <v>-1.06</v>
      </c>
    </row>
    <row r="198" spans="1:20" ht="15" thickBot="1" x14ac:dyDescent="0.35">
      <c r="A198" s="2" t="s">
        <v>33</v>
      </c>
      <c r="B198" s="2" t="s">
        <v>50</v>
      </c>
      <c r="C198" s="2" t="s">
        <v>35</v>
      </c>
      <c r="D198" s="2" t="s">
        <v>202</v>
      </c>
      <c r="E198" s="2" t="s">
        <v>37</v>
      </c>
      <c r="F198" s="2" t="s">
        <v>203</v>
      </c>
      <c r="G198" s="2" t="s">
        <v>26</v>
      </c>
      <c r="H198" s="3">
        <v>43888</v>
      </c>
      <c r="I198" s="2" t="s">
        <v>79</v>
      </c>
      <c r="J198" s="2" t="s">
        <v>40</v>
      </c>
      <c r="K198" s="4">
        <v>2020</v>
      </c>
      <c r="L198" s="4">
        <v>2.9660000000000002</v>
      </c>
      <c r="M198" s="4" t="s">
        <v>41</v>
      </c>
      <c r="N198" s="4" t="s">
        <v>42</v>
      </c>
      <c r="O198" s="4">
        <v>68.218000000000004</v>
      </c>
      <c r="P198" s="4" t="s">
        <v>31</v>
      </c>
      <c r="Q198" s="12">
        <v>68.218000000000004</v>
      </c>
      <c r="R198" s="4" t="s">
        <v>453</v>
      </c>
      <c r="S198" s="4">
        <v>35.591999999999999</v>
      </c>
      <c r="T198" s="4">
        <v>32.625999999999998</v>
      </c>
    </row>
    <row r="199" spans="1:20" ht="15" thickBot="1" x14ac:dyDescent="0.35">
      <c r="A199" s="2" t="s">
        <v>49</v>
      </c>
      <c r="B199" s="2" t="s">
        <v>44</v>
      </c>
      <c r="C199" s="2" t="s">
        <v>35</v>
      </c>
      <c r="D199" s="2" t="s">
        <v>150</v>
      </c>
      <c r="E199" s="2" t="s">
        <v>37</v>
      </c>
      <c r="F199" s="2" t="s">
        <v>151</v>
      </c>
      <c r="G199" s="2" t="s">
        <v>26</v>
      </c>
      <c r="H199" s="3">
        <v>44510</v>
      </c>
      <c r="I199" s="2" t="s">
        <v>95</v>
      </c>
      <c r="J199" s="2" t="s">
        <v>96</v>
      </c>
      <c r="K199" s="4">
        <v>2021</v>
      </c>
      <c r="L199" s="4">
        <v>1.3720000000000001</v>
      </c>
      <c r="M199" s="4" t="s">
        <v>41</v>
      </c>
      <c r="N199" s="4" t="s">
        <v>116</v>
      </c>
      <c r="O199" s="4">
        <v>15.092000000000001</v>
      </c>
      <c r="P199" s="4" t="s">
        <v>31</v>
      </c>
      <c r="Q199" s="12">
        <v>15.092000000000001</v>
      </c>
      <c r="R199" s="4" t="s">
        <v>454</v>
      </c>
      <c r="S199" s="4">
        <v>16.463999999999999</v>
      </c>
      <c r="T199" s="4">
        <v>-1.3720000000000001</v>
      </c>
    </row>
    <row r="200" spans="1:20" ht="15" thickBot="1" x14ac:dyDescent="0.35">
      <c r="A200" s="2" t="s">
        <v>49</v>
      </c>
      <c r="B200" s="2" t="s">
        <v>50</v>
      </c>
      <c r="C200" s="2" t="s">
        <v>35</v>
      </c>
      <c r="D200" s="2" t="s">
        <v>51</v>
      </c>
      <c r="E200" s="2" t="s">
        <v>37</v>
      </c>
      <c r="F200" s="2" t="s">
        <v>52</v>
      </c>
      <c r="G200" s="2" t="s">
        <v>26</v>
      </c>
      <c r="H200" s="3">
        <v>44214</v>
      </c>
      <c r="I200" s="2" t="s">
        <v>39</v>
      </c>
      <c r="J200" s="2" t="s">
        <v>40</v>
      </c>
      <c r="K200" s="4">
        <v>2021</v>
      </c>
      <c r="L200" s="4">
        <v>2.1800000000000002</v>
      </c>
      <c r="M200" s="4" t="s">
        <v>41</v>
      </c>
      <c r="N200" s="4" t="s">
        <v>165</v>
      </c>
      <c r="O200" s="4">
        <v>65.400000000000006</v>
      </c>
      <c r="P200" s="4" t="s">
        <v>31</v>
      </c>
      <c r="Q200" s="12">
        <v>65.400000000000006</v>
      </c>
      <c r="R200" s="4" t="s">
        <v>455</v>
      </c>
      <c r="S200" s="4">
        <v>26.16</v>
      </c>
      <c r="T200" s="4">
        <v>39.24</v>
      </c>
    </row>
    <row r="201" spans="1:20" ht="15" thickBot="1" x14ac:dyDescent="0.35">
      <c r="A201" s="2" t="s">
        <v>49</v>
      </c>
      <c r="B201" s="2" t="s">
        <v>74</v>
      </c>
      <c r="C201" s="2" t="s">
        <v>35</v>
      </c>
      <c r="D201" s="2" t="s">
        <v>293</v>
      </c>
      <c r="E201" s="2" t="s">
        <v>37</v>
      </c>
      <c r="F201" s="2" t="s">
        <v>294</v>
      </c>
      <c r="G201" s="2" t="s">
        <v>26</v>
      </c>
      <c r="H201" s="3">
        <v>44238</v>
      </c>
      <c r="I201" s="2" t="s">
        <v>79</v>
      </c>
      <c r="J201" s="2" t="s">
        <v>40</v>
      </c>
      <c r="K201" s="4">
        <v>2021</v>
      </c>
      <c r="L201" s="4">
        <v>1.8160000000000001</v>
      </c>
      <c r="M201" s="4" t="s">
        <v>41</v>
      </c>
      <c r="N201" s="4" t="s">
        <v>54</v>
      </c>
      <c r="O201" s="4">
        <v>953.4</v>
      </c>
      <c r="P201" s="4" t="s">
        <v>31</v>
      </c>
      <c r="Q201" s="12">
        <v>953.4</v>
      </c>
      <c r="R201" s="4" t="s">
        <v>439</v>
      </c>
      <c r="S201" s="4">
        <v>21.792000000000002</v>
      </c>
      <c r="T201" s="4">
        <v>931.60799999999995</v>
      </c>
    </row>
    <row r="202" spans="1:20" ht="15" thickBot="1" x14ac:dyDescent="0.35">
      <c r="A202" s="2" t="s">
        <v>49</v>
      </c>
      <c r="B202" s="2" t="s">
        <v>68</v>
      </c>
      <c r="C202" s="2" t="s">
        <v>69</v>
      </c>
      <c r="D202" s="2" t="s">
        <v>163</v>
      </c>
      <c r="E202" s="2" t="s">
        <v>71</v>
      </c>
      <c r="F202" s="2" t="s">
        <v>164</v>
      </c>
      <c r="G202" s="2" t="s">
        <v>26</v>
      </c>
      <c r="H202" s="3">
        <v>44259</v>
      </c>
      <c r="I202" s="2" t="s">
        <v>112</v>
      </c>
      <c r="J202" s="2" t="s">
        <v>40</v>
      </c>
      <c r="K202" s="4">
        <v>2021</v>
      </c>
      <c r="L202" s="4">
        <v>1.792</v>
      </c>
      <c r="M202" s="4" t="s">
        <v>73</v>
      </c>
      <c r="N202" s="4" t="s">
        <v>116</v>
      </c>
      <c r="O202" s="4">
        <v>19.712</v>
      </c>
      <c r="P202" s="4" t="s">
        <v>31</v>
      </c>
      <c r="Q202" s="12">
        <v>19.712</v>
      </c>
      <c r="R202" s="5">
        <v>16711</v>
      </c>
      <c r="S202" s="4">
        <v>265.21600000000001</v>
      </c>
      <c r="T202" s="4">
        <v>-245.50399999999999</v>
      </c>
    </row>
    <row r="203" spans="1:20" ht="15" thickBot="1" x14ac:dyDescent="0.35">
      <c r="A203" s="2" t="s">
        <v>20</v>
      </c>
      <c r="B203" s="2" t="s">
        <v>59</v>
      </c>
      <c r="C203" s="2" t="s">
        <v>69</v>
      </c>
      <c r="D203" s="2" t="s">
        <v>237</v>
      </c>
      <c r="E203" s="2" t="s">
        <v>71</v>
      </c>
      <c r="F203" s="2" t="s">
        <v>238</v>
      </c>
      <c r="G203" s="2" t="s">
        <v>26</v>
      </c>
      <c r="H203" s="3">
        <v>44375</v>
      </c>
      <c r="I203" s="2" t="s">
        <v>205</v>
      </c>
      <c r="J203" s="2" t="s">
        <v>92</v>
      </c>
      <c r="K203" s="4">
        <v>2021</v>
      </c>
      <c r="L203" s="4">
        <v>2.165</v>
      </c>
      <c r="M203" s="4" t="s">
        <v>73</v>
      </c>
      <c r="N203" s="4" t="s">
        <v>30</v>
      </c>
      <c r="O203" s="4">
        <v>407.02</v>
      </c>
      <c r="P203" s="4" t="s">
        <v>31</v>
      </c>
      <c r="Q203" s="12">
        <v>407.02</v>
      </c>
      <c r="R203" s="4" t="s">
        <v>456</v>
      </c>
      <c r="S203" s="4">
        <v>320.42</v>
      </c>
      <c r="T203" s="4">
        <v>86.6</v>
      </c>
    </row>
    <row r="204" spans="1:20" ht="29.4" thickBot="1" x14ac:dyDescent="0.35">
      <c r="A204" s="2" t="s">
        <v>58</v>
      </c>
      <c r="B204" s="2" t="s">
        <v>34</v>
      </c>
      <c r="C204" s="2" t="s">
        <v>69</v>
      </c>
      <c r="D204" s="2" t="s">
        <v>457</v>
      </c>
      <c r="E204" s="2" t="s">
        <v>71</v>
      </c>
      <c r="F204" s="2" t="s">
        <v>356</v>
      </c>
      <c r="G204" s="2" t="s">
        <v>26</v>
      </c>
      <c r="H204" s="3">
        <v>44062</v>
      </c>
      <c r="I204" s="2" t="s">
        <v>53</v>
      </c>
      <c r="J204" s="2" t="s">
        <v>28</v>
      </c>
      <c r="K204" s="4">
        <v>2020</v>
      </c>
      <c r="L204" s="4">
        <v>2.593</v>
      </c>
      <c r="M204" s="4" t="s">
        <v>73</v>
      </c>
      <c r="N204" s="4" t="s">
        <v>63</v>
      </c>
      <c r="O204" s="4">
        <v>46.673999999999999</v>
      </c>
      <c r="P204" s="4" t="s">
        <v>31</v>
      </c>
      <c r="Q204" s="12">
        <v>46.673999999999999</v>
      </c>
      <c r="R204" s="4" t="s">
        <v>247</v>
      </c>
      <c r="S204" s="4">
        <v>383.76400000000001</v>
      </c>
      <c r="T204" s="4">
        <v>-337.09</v>
      </c>
    </row>
    <row r="205" spans="1:20" ht="15" thickBot="1" x14ac:dyDescent="0.35">
      <c r="A205" s="2" t="s">
        <v>49</v>
      </c>
      <c r="B205" s="2" t="s">
        <v>50</v>
      </c>
      <c r="C205" s="2" t="s">
        <v>69</v>
      </c>
      <c r="D205" s="2" t="s">
        <v>153</v>
      </c>
      <c r="E205" s="2" t="s">
        <v>71</v>
      </c>
      <c r="F205" s="2" t="s">
        <v>154</v>
      </c>
      <c r="G205" s="2" t="s">
        <v>26</v>
      </c>
      <c r="H205" s="3">
        <v>44473</v>
      </c>
      <c r="I205" s="2" t="s">
        <v>115</v>
      </c>
      <c r="J205" s="2" t="s">
        <v>96</v>
      </c>
      <c r="K205" s="4">
        <v>2021</v>
      </c>
      <c r="L205" s="4">
        <v>1.2070000000000001</v>
      </c>
      <c r="M205" s="4" t="s">
        <v>73</v>
      </c>
      <c r="N205" s="4" t="s">
        <v>54</v>
      </c>
      <c r="O205" s="4">
        <v>633.67499999999995</v>
      </c>
      <c r="P205" s="4" t="s">
        <v>31</v>
      </c>
      <c r="Q205" s="12">
        <v>633.67499999999995</v>
      </c>
      <c r="R205" s="4" t="s">
        <v>452</v>
      </c>
      <c r="S205" s="4">
        <v>178.636</v>
      </c>
      <c r="T205" s="4">
        <v>455.03899999999999</v>
      </c>
    </row>
    <row r="206" spans="1:20" ht="29.4" thickBot="1" x14ac:dyDescent="0.35">
      <c r="A206" s="2" t="s">
        <v>58</v>
      </c>
      <c r="B206" s="2" t="s">
        <v>34</v>
      </c>
      <c r="C206" s="2" t="s">
        <v>69</v>
      </c>
      <c r="D206" s="2" t="s">
        <v>457</v>
      </c>
      <c r="E206" s="2" t="s">
        <v>71</v>
      </c>
      <c r="F206" s="2" t="s">
        <v>356</v>
      </c>
      <c r="G206" s="2" t="s">
        <v>26</v>
      </c>
      <c r="H206" s="3">
        <v>44412</v>
      </c>
      <c r="I206" s="2" t="s">
        <v>53</v>
      </c>
      <c r="J206" s="2" t="s">
        <v>28</v>
      </c>
      <c r="K206" s="4">
        <v>2021</v>
      </c>
      <c r="L206" s="4">
        <v>1.8540000000000001</v>
      </c>
      <c r="M206" s="4" t="s">
        <v>73</v>
      </c>
      <c r="N206" s="4" t="s">
        <v>63</v>
      </c>
      <c r="O206" s="4">
        <v>33.372</v>
      </c>
      <c r="P206" s="4" t="s">
        <v>31</v>
      </c>
      <c r="Q206" s="12">
        <v>33.372</v>
      </c>
      <c r="R206" s="4" t="s">
        <v>446</v>
      </c>
      <c r="S206" s="4">
        <v>274.392</v>
      </c>
      <c r="T206" s="4">
        <v>-241.02</v>
      </c>
    </row>
    <row r="207" spans="1:20" ht="15" thickBot="1" x14ac:dyDescent="0.35">
      <c r="A207" s="2" t="s">
        <v>20</v>
      </c>
      <c r="B207" s="2" t="s">
        <v>68</v>
      </c>
      <c r="C207" s="2" t="s">
        <v>69</v>
      </c>
      <c r="D207" s="2" t="s">
        <v>110</v>
      </c>
      <c r="E207" s="2" t="s">
        <v>71</v>
      </c>
      <c r="F207" s="2" t="s">
        <v>111</v>
      </c>
      <c r="G207" s="2" t="s">
        <v>26</v>
      </c>
      <c r="H207" s="3">
        <v>44427</v>
      </c>
      <c r="I207" s="2" t="s">
        <v>53</v>
      </c>
      <c r="J207" s="2" t="s">
        <v>28</v>
      </c>
      <c r="K207" s="4">
        <v>2021</v>
      </c>
      <c r="L207" s="4">
        <v>3.3849999999999998</v>
      </c>
      <c r="M207" s="4" t="s">
        <v>73</v>
      </c>
      <c r="N207" s="4" t="s">
        <v>30</v>
      </c>
      <c r="O207" s="4">
        <v>636.38</v>
      </c>
      <c r="P207" s="4" t="s">
        <v>31</v>
      </c>
      <c r="Q207" s="12">
        <v>636.38</v>
      </c>
      <c r="R207" s="4" t="s">
        <v>458</v>
      </c>
      <c r="S207" s="4">
        <v>500.98</v>
      </c>
      <c r="T207" s="4">
        <v>135.4</v>
      </c>
    </row>
    <row r="208" spans="1:20" ht="29.4" thickBot="1" x14ac:dyDescent="0.35">
      <c r="A208" s="2" t="s">
        <v>43</v>
      </c>
      <c r="B208" s="2" t="s">
        <v>68</v>
      </c>
      <c r="C208" s="2" t="s">
        <v>75</v>
      </c>
      <c r="D208" s="2" t="s">
        <v>265</v>
      </c>
      <c r="E208" s="2" t="s">
        <v>77</v>
      </c>
      <c r="F208" s="2" t="s">
        <v>266</v>
      </c>
      <c r="G208" s="2" t="s">
        <v>26</v>
      </c>
      <c r="H208" s="3">
        <v>44281</v>
      </c>
      <c r="I208" s="2" t="s">
        <v>112</v>
      </c>
      <c r="J208" s="2" t="s">
        <v>40</v>
      </c>
      <c r="K208" s="4">
        <v>2021</v>
      </c>
      <c r="L208" s="4">
        <v>2.4009999999999998</v>
      </c>
      <c r="M208" s="4" t="s">
        <v>80</v>
      </c>
      <c r="N208" s="4" t="s">
        <v>47</v>
      </c>
      <c r="O208" s="4" t="s">
        <v>459</v>
      </c>
      <c r="P208" s="4" t="s">
        <v>31</v>
      </c>
      <c r="Q208" s="12" t="s">
        <v>459</v>
      </c>
      <c r="R208" s="4" t="s">
        <v>460</v>
      </c>
      <c r="S208" s="4">
        <v>739.50800000000004</v>
      </c>
      <c r="T208" s="4">
        <v>340.94200000000001</v>
      </c>
    </row>
    <row r="209" spans="1:20" ht="29.4" thickBot="1" x14ac:dyDescent="0.35">
      <c r="A209" s="2" t="s">
        <v>58</v>
      </c>
      <c r="B209" s="2" t="s">
        <v>44</v>
      </c>
      <c r="C209" s="2" t="s">
        <v>75</v>
      </c>
      <c r="D209" s="2" t="s">
        <v>278</v>
      </c>
      <c r="E209" s="2" t="s">
        <v>77</v>
      </c>
      <c r="F209" s="2" t="s">
        <v>279</v>
      </c>
      <c r="G209" s="2" t="s">
        <v>26</v>
      </c>
      <c r="H209" s="3">
        <v>44380</v>
      </c>
      <c r="I209" s="2" t="s">
        <v>62</v>
      </c>
      <c r="J209" s="2" t="s">
        <v>28</v>
      </c>
      <c r="K209" s="4">
        <v>2021</v>
      </c>
      <c r="L209" s="4">
        <v>3.4060000000000001</v>
      </c>
      <c r="M209" s="4" t="s">
        <v>80</v>
      </c>
      <c r="N209" s="4" t="s">
        <v>63</v>
      </c>
      <c r="O209" s="4">
        <v>61.308</v>
      </c>
      <c r="P209" s="4" t="s">
        <v>31</v>
      </c>
      <c r="Q209" s="12">
        <v>61.308</v>
      </c>
      <c r="R209" s="4" t="s">
        <v>461</v>
      </c>
      <c r="S209" s="4" t="s">
        <v>462</v>
      </c>
      <c r="T209" s="4">
        <v>-987.74</v>
      </c>
    </row>
    <row r="210" spans="1:20" ht="15" thickBot="1" x14ac:dyDescent="0.35">
      <c r="A210" s="2" t="s">
        <v>33</v>
      </c>
      <c r="B210" s="2" t="s">
        <v>68</v>
      </c>
      <c r="C210" s="2" t="s">
        <v>75</v>
      </c>
      <c r="D210" s="2" t="s">
        <v>347</v>
      </c>
      <c r="E210" s="2" t="s">
        <v>77</v>
      </c>
      <c r="F210" s="2" t="s">
        <v>230</v>
      </c>
      <c r="G210" s="2" t="s">
        <v>26</v>
      </c>
      <c r="H210" s="3">
        <v>44036</v>
      </c>
      <c r="I210" s="2" t="s">
        <v>62</v>
      </c>
      <c r="J210" s="2" t="s">
        <v>28</v>
      </c>
      <c r="K210" s="4">
        <v>2020</v>
      </c>
      <c r="L210" s="4">
        <v>2.6139999999999999</v>
      </c>
      <c r="M210" s="4" t="s">
        <v>80</v>
      </c>
      <c r="N210" s="4" t="s">
        <v>42</v>
      </c>
      <c r="O210" s="4">
        <v>60.122</v>
      </c>
      <c r="P210" s="4" t="s">
        <v>31</v>
      </c>
      <c r="Q210" s="12">
        <v>60.122</v>
      </c>
      <c r="R210" s="4" t="s">
        <v>433</v>
      </c>
      <c r="S210" s="4">
        <v>805.11199999999997</v>
      </c>
      <c r="T210" s="4">
        <v>-744.99</v>
      </c>
    </row>
    <row r="211" spans="1:20" ht="15" thickBot="1" x14ac:dyDescent="0.35">
      <c r="A211" s="2" t="s">
        <v>33</v>
      </c>
      <c r="B211" s="2" t="s">
        <v>68</v>
      </c>
      <c r="C211" s="2" t="s">
        <v>75</v>
      </c>
      <c r="D211" s="2" t="s">
        <v>189</v>
      </c>
      <c r="E211" s="2" t="s">
        <v>77</v>
      </c>
      <c r="F211" s="2" t="s">
        <v>190</v>
      </c>
      <c r="G211" s="2" t="s">
        <v>26</v>
      </c>
      <c r="H211" s="3">
        <v>43864</v>
      </c>
      <c r="I211" s="2" t="s">
        <v>79</v>
      </c>
      <c r="J211" s="2" t="s">
        <v>40</v>
      </c>
      <c r="K211" s="4">
        <v>2020</v>
      </c>
      <c r="L211" s="4">
        <v>1.0660000000000001</v>
      </c>
      <c r="M211" s="4" t="s">
        <v>80</v>
      </c>
      <c r="N211" s="4" t="s">
        <v>42</v>
      </c>
      <c r="O211" s="4">
        <v>24.518000000000001</v>
      </c>
      <c r="P211" s="4" t="s">
        <v>31</v>
      </c>
      <c r="Q211" s="12">
        <v>24.518000000000001</v>
      </c>
      <c r="R211" s="4" t="s">
        <v>436</v>
      </c>
      <c r="S211" s="4">
        <v>328.32799999999997</v>
      </c>
      <c r="T211" s="4">
        <v>-303.81</v>
      </c>
    </row>
    <row r="212" spans="1:20" ht="29.4" thickBot="1" x14ac:dyDescent="0.35">
      <c r="A212" s="2" t="s">
        <v>43</v>
      </c>
      <c r="B212" s="2" t="s">
        <v>64</v>
      </c>
      <c r="C212" s="2" t="s">
        <v>75</v>
      </c>
      <c r="D212" s="2" t="s">
        <v>263</v>
      </c>
      <c r="E212" s="2" t="s">
        <v>77</v>
      </c>
      <c r="F212" s="2" t="s">
        <v>264</v>
      </c>
      <c r="G212" s="2" t="s">
        <v>26</v>
      </c>
      <c r="H212" s="3">
        <v>43974</v>
      </c>
      <c r="I212" s="2" t="s">
        <v>142</v>
      </c>
      <c r="J212" s="2" t="s">
        <v>92</v>
      </c>
      <c r="K212" s="4">
        <v>2020</v>
      </c>
      <c r="L212" s="4">
        <v>2.581</v>
      </c>
      <c r="M212" s="4" t="s">
        <v>80</v>
      </c>
      <c r="N212" s="4" t="s">
        <v>47</v>
      </c>
      <c r="O212" s="4" t="s">
        <v>463</v>
      </c>
      <c r="P212" s="4" t="s">
        <v>31</v>
      </c>
      <c r="Q212" s="12" t="s">
        <v>463</v>
      </c>
      <c r="R212" s="4" t="s">
        <v>464</v>
      </c>
      <c r="S212" s="4">
        <v>794.94799999999998</v>
      </c>
      <c r="T212" s="4">
        <v>366.50200000000001</v>
      </c>
    </row>
    <row r="213" spans="1:20" ht="15" thickBot="1" x14ac:dyDescent="0.35">
      <c r="A213" s="2" t="s">
        <v>49</v>
      </c>
      <c r="B213" s="2" t="s">
        <v>68</v>
      </c>
      <c r="C213" s="2" t="s">
        <v>75</v>
      </c>
      <c r="D213" s="2" t="s">
        <v>242</v>
      </c>
      <c r="E213" s="2" t="s">
        <v>77</v>
      </c>
      <c r="F213" s="2" t="s">
        <v>243</v>
      </c>
      <c r="G213" s="2" t="s">
        <v>26</v>
      </c>
      <c r="H213" s="3">
        <v>44545</v>
      </c>
      <c r="I213" s="2" t="s">
        <v>100</v>
      </c>
      <c r="J213" s="2" t="s">
        <v>96</v>
      </c>
      <c r="K213" s="4">
        <v>2021</v>
      </c>
      <c r="L213" s="4">
        <v>2.1800000000000002</v>
      </c>
      <c r="M213" s="4" t="s">
        <v>80</v>
      </c>
      <c r="N213" s="4" t="s">
        <v>165</v>
      </c>
      <c r="O213" s="4">
        <v>65.400000000000006</v>
      </c>
      <c r="P213" s="4" t="s">
        <v>31</v>
      </c>
      <c r="Q213" s="12">
        <v>65.400000000000006</v>
      </c>
      <c r="R213" s="4" t="s">
        <v>455</v>
      </c>
      <c r="S213" s="4">
        <v>671.44</v>
      </c>
      <c r="T213" s="4">
        <v>-606.04</v>
      </c>
    </row>
    <row r="214" spans="1:20" ht="15" thickBot="1" x14ac:dyDescent="0.35">
      <c r="A214" s="2" t="s">
        <v>49</v>
      </c>
      <c r="B214" s="2" t="s">
        <v>21</v>
      </c>
      <c r="C214" s="2" t="s">
        <v>120</v>
      </c>
      <c r="D214" s="2" t="s">
        <v>272</v>
      </c>
      <c r="E214" s="2" t="s">
        <v>122</v>
      </c>
      <c r="F214" s="2" t="s">
        <v>273</v>
      </c>
      <c r="G214" s="2" t="s">
        <v>26</v>
      </c>
      <c r="H214" s="3">
        <v>44066</v>
      </c>
      <c r="I214" s="2" t="s">
        <v>53</v>
      </c>
      <c r="J214" s="2" t="s">
        <v>28</v>
      </c>
      <c r="K214" s="4">
        <v>2020</v>
      </c>
      <c r="L214" s="4">
        <v>3.3</v>
      </c>
      <c r="M214" s="4" t="s">
        <v>124</v>
      </c>
      <c r="N214" s="4" t="s">
        <v>54</v>
      </c>
      <c r="O214" s="4" t="s">
        <v>465</v>
      </c>
      <c r="P214" s="4" t="s">
        <v>31</v>
      </c>
      <c r="Q214" s="12" t="s">
        <v>465</v>
      </c>
      <c r="R214" s="4" t="s">
        <v>466</v>
      </c>
      <c r="S214" s="4" t="s">
        <v>467</v>
      </c>
      <c r="T214" s="4">
        <v>676.5</v>
      </c>
    </row>
    <row r="215" spans="1:20" ht="29.4" thickBot="1" x14ac:dyDescent="0.35">
      <c r="A215" s="2" t="s">
        <v>58</v>
      </c>
      <c r="B215" s="2" t="s">
        <v>34</v>
      </c>
      <c r="C215" s="2" t="s">
        <v>120</v>
      </c>
      <c r="D215" s="2" t="s">
        <v>121</v>
      </c>
      <c r="E215" s="2" t="s">
        <v>122</v>
      </c>
      <c r="F215" s="2" t="s">
        <v>123</v>
      </c>
      <c r="G215" s="2" t="s">
        <v>26</v>
      </c>
      <c r="H215" s="3">
        <v>44117</v>
      </c>
      <c r="I215" s="2" t="s">
        <v>115</v>
      </c>
      <c r="J215" s="2" t="s">
        <v>96</v>
      </c>
      <c r="K215" s="4">
        <v>2020</v>
      </c>
      <c r="L215" s="4">
        <v>2.3439999999999999</v>
      </c>
      <c r="M215" s="4" t="s">
        <v>124</v>
      </c>
      <c r="N215" s="4" t="s">
        <v>63</v>
      </c>
      <c r="O215" s="4">
        <v>42.192</v>
      </c>
      <c r="P215" s="4" t="s">
        <v>31</v>
      </c>
      <c r="Q215" s="12">
        <v>42.192</v>
      </c>
      <c r="R215" s="4" t="s">
        <v>468</v>
      </c>
      <c r="S215" s="4">
        <v>750.08</v>
      </c>
      <c r="T215" s="4">
        <v>-707.88800000000003</v>
      </c>
    </row>
    <row r="216" spans="1:20" ht="15" thickBot="1" x14ac:dyDescent="0.35">
      <c r="A216" s="2" t="s">
        <v>20</v>
      </c>
      <c r="B216" s="2" t="s">
        <v>21</v>
      </c>
      <c r="C216" s="2" t="s">
        <v>120</v>
      </c>
      <c r="D216" s="2" t="s">
        <v>297</v>
      </c>
      <c r="E216" s="2" t="s">
        <v>122</v>
      </c>
      <c r="F216" s="2" t="s">
        <v>298</v>
      </c>
      <c r="G216" s="2" t="s">
        <v>26</v>
      </c>
      <c r="H216" s="3">
        <v>44247</v>
      </c>
      <c r="I216" s="2" t="s">
        <v>79</v>
      </c>
      <c r="J216" s="2" t="s">
        <v>40</v>
      </c>
      <c r="K216" s="4">
        <v>2021</v>
      </c>
      <c r="L216" s="4">
        <v>5.0629999999999997</v>
      </c>
      <c r="M216" s="4" t="s">
        <v>124</v>
      </c>
      <c r="N216" s="4" t="s">
        <v>30</v>
      </c>
      <c r="O216" s="4">
        <v>951.84400000000005</v>
      </c>
      <c r="P216" s="4" t="s">
        <v>31</v>
      </c>
      <c r="Q216" s="12">
        <v>951.84400000000005</v>
      </c>
      <c r="R216" s="4" t="s">
        <v>469</v>
      </c>
      <c r="S216" s="4" t="s">
        <v>470</v>
      </c>
      <c r="T216" s="4">
        <v>-668.31600000000003</v>
      </c>
    </row>
    <row r="217" spans="1:20" ht="15" thickBot="1" x14ac:dyDescent="0.35">
      <c r="A217" s="2" t="s">
        <v>49</v>
      </c>
      <c r="B217" s="2" t="s">
        <v>21</v>
      </c>
      <c r="C217" s="2" t="s">
        <v>120</v>
      </c>
      <c r="D217" s="2" t="s">
        <v>272</v>
      </c>
      <c r="E217" s="2" t="s">
        <v>122</v>
      </c>
      <c r="F217" s="2" t="s">
        <v>273</v>
      </c>
      <c r="G217" s="2" t="s">
        <v>26</v>
      </c>
      <c r="H217" s="3">
        <v>44380</v>
      </c>
      <c r="I217" s="2" t="s">
        <v>62</v>
      </c>
      <c r="J217" s="2" t="s">
        <v>28</v>
      </c>
      <c r="K217" s="4">
        <v>2021</v>
      </c>
      <c r="L217" s="4">
        <v>2.2789999999999999</v>
      </c>
      <c r="M217" s="4" t="s">
        <v>124</v>
      </c>
      <c r="N217" s="4" t="s">
        <v>165</v>
      </c>
      <c r="O217" s="4">
        <v>68.37</v>
      </c>
      <c r="P217" s="4" t="s">
        <v>31</v>
      </c>
      <c r="Q217" s="12">
        <v>68.37</v>
      </c>
      <c r="R217" s="4" t="s">
        <v>444</v>
      </c>
      <c r="S217" s="4">
        <v>729.28</v>
      </c>
      <c r="T217" s="4">
        <v>-660.91</v>
      </c>
    </row>
    <row r="218" spans="1:20" ht="15" thickBot="1" x14ac:dyDescent="0.35">
      <c r="A218" s="2" t="s">
        <v>49</v>
      </c>
      <c r="B218" s="2" t="s">
        <v>44</v>
      </c>
      <c r="C218" s="2" t="s">
        <v>120</v>
      </c>
      <c r="D218" s="2" t="s">
        <v>176</v>
      </c>
      <c r="E218" s="2" t="s">
        <v>122</v>
      </c>
      <c r="F218" s="2" t="s">
        <v>177</v>
      </c>
      <c r="G218" s="2" t="s">
        <v>26</v>
      </c>
      <c r="H218" s="3">
        <v>44453</v>
      </c>
      <c r="I218" s="2" t="s">
        <v>27</v>
      </c>
      <c r="J218" s="2" t="s">
        <v>28</v>
      </c>
      <c r="K218" s="4">
        <v>2021</v>
      </c>
      <c r="L218" s="4">
        <v>2.0230000000000001</v>
      </c>
      <c r="M218" s="4" t="s">
        <v>124</v>
      </c>
      <c r="N218" s="4" t="s">
        <v>116</v>
      </c>
      <c r="O218" s="4">
        <v>22.253</v>
      </c>
      <c r="P218" s="4" t="s">
        <v>31</v>
      </c>
      <c r="Q218" s="12">
        <v>22.253</v>
      </c>
      <c r="R218" s="5">
        <v>29526</v>
      </c>
      <c r="S218" s="4">
        <v>647.36</v>
      </c>
      <c r="T218" s="4">
        <v>-625.10699999999997</v>
      </c>
    </row>
    <row r="219" spans="1:20" ht="29.4" thickBot="1" x14ac:dyDescent="0.35">
      <c r="A219" s="2" t="s">
        <v>58</v>
      </c>
      <c r="B219" s="2" t="s">
        <v>34</v>
      </c>
      <c r="C219" s="2" t="s">
        <v>120</v>
      </c>
      <c r="D219" s="2" t="s">
        <v>121</v>
      </c>
      <c r="E219" s="2" t="s">
        <v>122</v>
      </c>
      <c r="F219" s="2" t="s">
        <v>123</v>
      </c>
      <c r="G219" s="2" t="s">
        <v>26</v>
      </c>
      <c r="H219" s="3">
        <v>44150</v>
      </c>
      <c r="I219" s="2" t="s">
        <v>95</v>
      </c>
      <c r="J219" s="2" t="s">
        <v>96</v>
      </c>
      <c r="K219" s="4">
        <v>2020</v>
      </c>
      <c r="L219" s="4">
        <v>2.569</v>
      </c>
      <c r="M219" s="4" t="s">
        <v>124</v>
      </c>
      <c r="N219" s="4" t="s">
        <v>63</v>
      </c>
      <c r="O219" s="4">
        <v>46.241999999999997</v>
      </c>
      <c r="P219" s="4" t="s">
        <v>31</v>
      </c>
      <c r="Q219" s="12">
        <v>46.241999999999997</v>
      </c>
      <c r="R219" s="4" t="s">
        <v>471</v>
      </c>
      <c r="S219" s="4">
        <v>822.08</v>
      </c>
      <c r="T219" s="4">
        <v>-775.83799999999997</v>
      </c>
    </row>
    <row r="220" spans="1:20" ht="29.4" thickBot="1" x14ac:dyDescent="0.35">
      <c r="A220" s="2" t="s">
        <v>49</v>
      </c>
      <c r="B220" s="2" t="s">
        <v>74</v>
      </c>
      <c r="C220" s="2" t="s">
        <v>120</v>
      </c>
      <c r="D220" s="2" t="s">
        <v>270</v>
      </c>
      <c r="E220" s="2" t="s">
        <v>122</v>
      </c>
      <c r="F220" s="2" t="s">
        <v>271</v>
      </c>
      <c r="G220" s="2" t="s">
        <v>26</v>
      </c>
      <c r="H220" s="3">
        <v>44309</v>
      </c>
      <c r="I220" s="2" t="s">
        <v>91</v>
      </c>
      <c r="J220" s="2" t="s">
        <v>92</v>
      </c>
      <c r="K220" s="4">
        <v>2021</v>
      </c>
      <c r="L220" s="4">
        <v>1.3720000000000001</v>
      </c>
      <c r="M220" s="4" t="s">
        <v>124</v>
      </c>
      <c r="N220" s="4" t="s">
        <v>116</v>
      </c>
      <c r="O220" s="4">
        <v>15.092000000000001</v>
      </c>
      <c r="P220" s="4" t="s">
        <v>31</v>
      </c>
      <c r="Q220" s="12">
        <v>15.092000000000001</v>
      </c>
      <c r="R220" s="4" t="s">
        <v>454</v>
      </c>
      <c r="S220" s="4">
        <v>439.04</v>
      </c>
      <c r="T220" s="4">
        <v>-423.94799999999998</v>
      </c>
    </row>
    <row r="221" spans="1:20" ht="15" thickBot="1" x14ac:dyDescent="0.35">
      <c r="A221" s="2" t="s">
        <v>33</v>
      </c>
      <c r="B221" s="2" t="s">
        <v>64</v>
      </c>
      <c r="C221" s="2" t="s">
        <v>120</v>
      </c>
      <c r="D221" s="2" t="s">
        <v>210</v>
      </c>
      <c r="E221" s="2" t="s">
        <v>122</v>
      </c>
      <c r="F221" s="2" t="s">
        <v>211</v>
      </c>
      <c r="G221" s="2" t="s">
        <v>26</v>
      </c>
      <c r="H221" s="3">
        <v>44191</v>
      </c>
      <c r="I221" s="2" t="s">
        <v>100</v>
      </c>
      <c r="J221" s="2" t="s">
        <v>96</v>
      </c>
      <c r="K221" s="4">
        <v>2020</v>
      </c>
      <c r="L221" s="4">
        <v>738</v>
      </c>
      <c r="M221" s="4" t="s">
        <v>124</v>
      </c>
      <c r="N221" s="4" t="s">
        <v>42</v>
      </c>
      <c r="O221" s="4">
        <v>16.974</v>
      </c>
      <c r="P221" s="4" t="s">
        <v>31</v>
      </c>
      <c r="Q221" s="12">
        <v>16.974</v>
      </c>
      <c r="R221" s="5">
        <v>45170</v>
      </c>
      <c r="S221" s="4">
        <v>236.16</v>
      </c>
      <c r="T221" s="4">
        <v>-219.18600000000001</v>
      </c>
    </row>
    <row r="222" spans="1:20" ht="15" thickBot="1" x14ac:dyDescent="0.35">
      <c r="A222" s="2" t="s">
        <v>49</v>
      </c>
      <c r="B222" s="2" t="s">
        <v>50</v>
      </c>
      <c r="C222" s="2" t="s">
        <v>35</v>
      </c>
      <c r="D222" s="2" t="s">
        <v>233</v>
      </c>
      <c r="E222" s="2" t="s">
        <v>37</v>
      </c>
      <c r="F222" s="2" t="s">
        <v>234</v>
      </c>
      <c r="G222" s="2" t="s">
        <v>86</v>
      </c>
      <c r="H222" s="3">
        <v>44097</v>
      </c>
      <c r="I222" s="2" t="s">
        <v>27</v>
      </c>
      <c r="J222" s="2" t="s">
        <v>28</v>
      </c>
      <c r="K222" s="4">
        <v>2020</v>
      </c>
      <c r="L222" s="4">
        <v>4.734</v>
      </c>
      <c r="M222" s="4" t="s">
        <v>41</v>
      </c>
      <c r="N222" s="4" t="s">
        <v>116</v>
      </c>
      <c r="O222" s="4">
        <v>52.073999999999998</v>
      </c>
      <c r="P222" s="4">
        <v>521</v>
      </c>
      <c r="Q222" s="12">
        <v>51.552999999999997</v>
      </c>
      <c r="R222" s="4" t="s">
        <v>472</v>
      </c>
      <c r="S222" s="4">
        <v>56.808</v>
      </c>
      <c r="T222" s="4">
        <v>-5.2549999999999999</v>
      </c>
    </row>
    <row r="223" spans="1:20" ht="15" thickBot="1" x14ac:dyDescent="0.35">
      <c r="A223" s="2" t="s">
        <v>33</v>
      </c>
      <c r="B223" s="2" t="s">
        <v>34</v>
      </c>
      <c r="C223" s="2" t="s">
        <v>35</v>
      </c>
      <c r="D223" s="2" t="s">
        <v>36</v>
      </c>
      <c r="E223" s="2" t="s">
        <v>37</v>
      </c>
      <c r="F223" s="2" t="s">
        <v>38</v>
      </c>
      <c r="G223" s="2" t="s">
        <v>86</v>
      </c>
      <c r="H223" s="3">
        <v>44181</v>
      </c>
      <c r="I223" s="2" t="s">
        <v>100</v>
      </c>
      <c r="J223" s="2" t="s">
        <v>96</v>
      </c>
      <c r="K223" s="4">
        <v>2020</v>
      </c>
      <c r="L223" s="4">
        <v>2.7549999999999999</v>
      </c>
      <c r="M223" s="4" t="s">
        <v>41</v>
      </c>
      <c r="N223" s="4" t="s">
        <v>42</v>
      </c>
      <c r="O223" s="4">
        <v>63.365000000000002</v>
      </c>
      <c r="P223" s="4">
        <v>634</v>
      </c>
      <c r="Q223" s="12">
        <v>62.731000000000002</v>
      </c>
      <c r="R223" s="4" t="s">
        <v>473</v>
      </c>
      <c r="S223" s="4">
        <v>33.06</v>
      </c>
      <c r="T223" s="4">
        <v>29.670999999999999</v>
      </c>
    </row>
    <row r="224" spans="1:20" ht="15" thickBot="1" x14ac:dyDescent="0.35">
      <c r="A224" s="2" t="s">
        <v>49</v>
      </c>
      <c r="B224" s="2" t="s">
        <v>50</v>
      </c>
      <c r="C224" s="2" t="s">
        <v>35</v>
      </c>
      <c r="D224" s="2" t="s">
        <v>233</v>
      </c>
      <c r="E224" s="2" t="s">
        <v>37</v>
      </c>
      <c r="F224" s="2" t="s">
        <v>234</v>
      </c>
      <c r="G224" s="2" t="s">
        <v>86</v>
      </c>
      <c r="H224" s="3">
        <v>44420</v>
      </c>
      <c r="I224" s="2" t="s">
        <v>53</v>
      </c>
      <c r="J224" s="2" t="s">
        <v>28</v>
      </c>
      <c r="K224" s="4">
        <v>2021</v>
      </c>
      <c r="L224" s="4">
        <v>1.236</v>
      </c>
      <c r="M224" s="4" t="s">
        <v>41</v>
      </c>
      <c r="N224" s="4" t="s">
        <v>116</v>
      </c>
      <c r="O224" s="4">
        <v>13.596</v>
      </c>
      <c r="P224" s="4">
        <v>136</v>
      </c>
      <c r="Q224" s="12">
        <v>13.46</v>
      </c>
      <c r="R224" s="5">
        <v>41821</v>
      </c>
      <c r="S224" s="4">
        <v>14.832000000000001</v>
      </c>
      <c r="T224" s="4">
        <v>-1.3720000000000001</v>
      </c>
    </row>
    <row r="225" spans="1:20" ht="15" thickBot="1" x14ac:dyDescent="0.35">
      <c r="A225" s="2" t="s">
        <v>49</v>
      </c>
      <c r="B225" s="2" t="s">
        <v>64</v>
      </c>
      <c r="C225" s="2" t="s">
        <v>69</v>
      </c>
      <c r="D225" s="2" t="s">
        <v>239</v>
      </c>
      <c r="E225" s="2" t="s">
        <v>71</v>
      </c>
      <c r="F225" s="2" t="s">
        <v>240</v>
      </c>
      <c r="G225" s="2" t="s">
        <v>86</v>
      </c>
      <c r="H225" s="3">
        <v>44135</v>
      </c>
      <c r="I225" s="2" t="s">
        <v>115</v>
      </c>
      <c r="J225" s="2" t="s">
        <v>96</v>
      </c>
      <c r="K225" s="4">
        <v>2020</v>
      </c>
      <c r="L225" s="4">
        <v>767</v>
      </c>
      <c r="M225" s="4" t="s">
        <v>73</v>
      </c>
      <c r="N225" s="4" t="s">
        <v>116</v>
      </c>
      <c r="O225" s="4">
        <v>8.4369999999999994</v>
      </c>
      <c r="P225" s="4">
        <v>84</v>
      </c>
      <c r="Q225" s="12">
        <v>8.3529999999999998</v>
      </c>
      <c r="R225" s="5">
        <v>15797</v>
      </c>
      <c r="S225" s="4">
        <v>113.51600000000001</v>
      </c>
      <c r="T225" s="4">
        <v>-105.163</v>
      </c>
    </row>
    <row r="226" spans="1:20" ht="15" thickBot="1" x14ac:dyDescent="0.35">
      <c r="A226" s="2" t="s">
        <v>49</v>
      </c>
      <c r="B226" s="2" t="s">
        <v>68</v>
      </c>
      <c r="C226" s="2" t="s">
        <v>75</v>
      </c>
      <c r="D226" s="2" t="s">
        <v>242</v>
      </c>
      <c r="E226" s="2" t="s">
        <v>77</v>
      </c>
      <c r="F226" s="2" t="s">
        <v>243</v>
      </c>
      <c r="G226" s="2" t="s">
        <v>86</v>
      </c>
      <c r="H226" s="3">
        <v>44274</v>
      </c>
      <c r="I226" s="2" t="s">
        <v>112</v>
      </c>
      <c r="J226" s="2" t="s">
        <v>40</v>
      </c>
      <c r="K226" s="4">
        <v>2021</v>
      </c>
      <c r="L226" s="4">
        <v>1.591</v>
      </c>
      <c r="M226" s="4" t="s">
        <v>80</v>
      </c>
      <c r="N226" s="4" t="s">
        <v>116</v>
      </c>
      <c r="O226" s="4">
        <v>17.501000000000001</v>
      </c>
      <c r="P226" s="4">
        <v>175</v>
      </c>
      <c r="Q226" s="12">
        <v>17.326000000000001</v>
      </c>
      <c r="R226" s="5">
        <v>43709</v>
      </c>
      <c r="S226" s="4">
        <v>490.02800000000002</v>
      </c>
      <c r="T226" s="4">
        <v>-472.702</v>
      </c>
    </row>
    <row r="227" spans="1:20" ht="29.4" thickBot="1" x14ac:dyDescent="0.35">
      <c r="A227" s="2" t="s">
        <v>58</v>
      </c>
      <c r="B227" s="2" t="s">
        <v>50</v>
      </c>
      <c r="C227" s="2" t="s">
        <v>82</v>
      </c>
      <c r="D227" s="2" t="s">
        <v>334</v>
      </c>
      <c r="E227" s="2" t="s">
        <v>84</v>
      </c>
      <c r="F227" s="2" t="s">
        <v>335</v>
      </c>
      <c r="G227" s="2" t="s">
        <v>86</v>
      </c>
      <c r="H227" s="3">
        <v>44446</v>
      </c>
      <c r="I227" s="2" t="s">
        <v>27</v>
      </c>
      <c r="J227" s="2" t="s">
        <v>28</v>
      </c>
      <c r="K227" s="4">
        <v>2021</v>
      </c>
      <c r="L227" s="4">
        <v>2.23</v>
      </c>
      <c r="M227" s="4" t="s">
        <v>87</v>
      </c>
      <c r="N227" s="4" t="s">
        <v>63</v>
      </c>
      <c r="O227" s="4">
        <v>40.14</v>
      </c>
      <c r="P227" s="4">
        <v>401</v>
      </c>
      <c r="Q227" s="12">
        <v>39.738999999999997</v>
      </c>
      <c r="R227" s="6">
        <v>45860</v>
      </c>
      <c r="S227" s="4">
        <v>8.92</v>
      </c>
      <c r="T227" s="4">
        <v>30.818999999999999</v>
      </c>
    </row>
    <row r="228" spans="1:20" ht="15" thickBot="1" x14ac:dyDescent="0.35">
      <c r="A228" s="2" t="s">
        <v>49</v>
      </c>
      <c r="B228" s="2" t="s">
        <v>34</v>
      </c>
      <c r="C228" s="2" t="s">
        <v>82</v>
      </c>
      <c r="D228" s="2" t="s">
        <v>275</v>
      </c>
      <c r="E228" s="2" t="s">
        <v>84</v>
      </c>
      <c r="F228" s="2" t="s">
        <v>276</v>
      </c>
      <c r="G228" s="2" t="s">
        <v>86</v>
      </c>
      <c r="H228" s="3">
        <v>44009</v>
      </c>
      <c r="I228" s="2" t="s">
        <v>205</v>
      </c>
      <c r="J228" s="2" t="s">
        <v>92</v>
      </c>
      <c r="K228" s="4">
        <v>2020</v>
      </c>
      <c r="L228" s="4">
        <v>1.452</v>
      </c>
      <c r="M228" s="4" t="s">
        <v>87</v>
      </c>
      <c r="N228" s="4" t="s">
        <v>54</v>
      </c>
      <c r="O228" s="4">
        <v>762.3</v>
      </c>
      <c r="P228" s="4">
        <v>7.6230000000000002</v>
      </c>
      <c r="Q228" s="12">
        <v>754.67700000000002</v>
      </c>
      <c r="R228" s="4" t="s">
        <v>474</v>
      </c>
      <c r="S228" s="4">
        <v>5.8079999999999998</v>
      </c>
      <c r="T228" s="4">
        <v>748.86900000000003</v>
      </c>
    </row>
    <row r="229" spans="1:20" ht="15" thickBot="1" x14ac:dyDescent="0.35">
      <c r="A229" s="2" t="s">
        <v>49</v>
      </c>
      <c r="B229" s="2" t="s">
        <v>21</v>
      </c>
      <c r="C229" s="2" t="s">
        <v>82</v>
      </c>
      <c r="D229" s="2" t="s">
        <v>248</v>
      </c>
      <c r="E229" s="2" t="s">
        <v>84</v>
      </c>
      <c r="F229" s="2" t="s">
        <v>249</v>
      </c>
      <c r="G229" s="2" t="s">
        <v>86</v>
      </c>
      <c r="H229" s="3">
        <v>44063</v>
      </c>
      <c r="I229" s="2" t="s">
        <v>53</v>
      </c>
      <c r="J229" s="2" t="s">
        <v>28</v>
      </c>
      <c r="K229" s="4">
        <v>2020</v>
      </c>
      <c r="L229" s="4">
        <v>3.0350000000000001</v>
      </c>
      <c r="M229" s="4" t="s">
        <v>87</v>
      </c>
      <c r="N229" s="4" t="s">
        <v>116</v>
      </c>
      <c r="O229" s="4">
        <v>33.384999999999998</v>
      </c>
      <c r="P229" s="4">
        <v>334</v>
      </c>
      <c r="Q229" s="12">
        <v>33.051000000000002</v>
      </c>
      <c r="R229" s="4" t="s">
        <v>475</v>
      </c>
      <c r="S229" s="4">
        <v>12.14</v>
      </c>
      <c r="T229" s="4">
        <v>20.911000000000001</v>
      </c>
    </row>
    <row r="230" spans="1:20" ht="29.4" thickBot="1" x14ac:dyDescent="0.35">
      <c r="A230" s="2" t="s">
        <v>58</v>
      </c>
      <c r="B230" s="2" t="s">
        <v>50</v>
      </c>
      <c r="C230" s="2" t="s">
        <v>82</v>
      </c>
      <c r="D230" s="2" t="s">
        <v>179</v>
      </c>
      <c r="E230" s="2" t="s">
        <v>84</v>
      </c>
      <c r="F230" s="2" t="s">
        <v>180</v>
      </c>
      <c r="G230" s="2" t="s">
        <v>86</v>
      </c>
      <c r="H230" s="3">
        <v>44053</v>
      </c>
      <c r="I230" s="2" t="s">
        <v>53</v>
      </c>
      <c r="J230" s="2" t="s">
        <v>28</v>
      </c>
      <c r="K230" s="4">
        <v>2020</v>
      </c>
      <c r="L230" s="4">
        <v>1.734</v>
      </c>
      <c r="M230" s="4" t="s">
        <v>87</v>
      </c>
      <c r="N230" s="4" t="s">
        <v>63</v>
      </c>
      <c r="O230" s="4">
        <v>31.212</v>
      </c>
      <c r="P230" s="4">
        <v>312</v>
      </c>
      <c r="Q230" s="12">
        <v>30.9</v>
      </c>
      <c r="R230" s="4" t="s">
        <v>476</v>
      </c>
      <c r="S230" s="4">
        <v>6.9359999999999999</v>
      </c>
      <c r="T230" s="4">
        <v>23.963999999999999</v>
      </c>
    </row>
    <row r="231" spans="1:20" ht="29.4" thickBot="1" x14ac:dyDescent="0.35">
      <c r="A231" s="2" t="s">
        <v>58</v>
      </c>
      <c r="B231" s="2" t="s">
        <v>74</v>
      </c>
      <c r="C231" s="2" t="s">
        <v>82</v>
      </c>
      <c r="D231" s="2" t="s">
        <v>351</v>
      </c>
      <c r="E231" s="2" t="s">
        <v>84</v>
      </c>
      <c r="F231" s="2" t="s">
        <v>352</v>
      </c>
      <c r="G231" s="2" t="s">
        <v>86</v>
      </c>
      <c r="H231" s="3">
        <v>44540</v>
      </c>
      <c r="I231" s="2" t="s">
        <v>100</v>
      </c>
      <c r="J231" s="2" t="s">
        <v>96</v>
      </c>
      <c r="K231" s="4">
        <v>2021</v>
      </c>
      <c r="L231" s="4">
        <v>3.2050000000000001</v>
      </c>
      <c r="M231" s="4" t="s">
        <v>87</v>
      </c>
      <c r="N231" s="4" t="s">
        <v>63</v>
      </c>
      <c r="O231" s="4">
        <v>57.69</v>
      </c>
      <c r="P231" s="4">
        <v>577</v>
      </c>
      <c r="Q231" s="12">
        <v>57.113</v>
      </c>
      <c r="R231" s="4" t="s">
        <v>477</v>
      </c>
      <c r="S231" s="4">
        <v>12.82</v>
      </c>
      <c r="T231" s="4">
        <v>44.292999999999999</v>
      </c>
    </row>
    <row r="232" spans="1:20" ht="15" thickBot="1" x14ac:dyDescent="0.35">
      <c r="A232" s="2" t="s">
        <v>49</v>
      </c>
      <c r="B232" s="2" t="s">
        <v>34</v>
      </c>
      <c r="C232" s="2" t="s">
        <v>82</v>
      </c>
      <c r="D232" s="2" t="s">
        <v>275</v>
      </c>
      <c r="E232" s="2" t="s">
        <v>84</v>
      </c>
      <c r="F232" s="2" t="s">
        <v>276</v>
      </c>
      <c r="G232" s="2" t="s">
        <v>86</v>
      </c>
      <c r="H232" s="3">
        <v>44046</v>
      </c>
      <c r="I232" s="2" t="s">
        <v>53</v>
      </c>
      <c r="J232" s="2" t="s">
        <v>28</v>
      </c>
      <c r="K232" s="4">
        <v>2020</v>
      </c>
      <c r="L232" s="4">
        <v>1.6759999999999999</v>
      </c>
      <c r="M232" s="4" t="s">
        <v>87</v>
      </c>
      <c r="N232" s="4" t="s">
        <v>54</v>
      </c>
      <c r="O232" s="4">
        <v>879.9</v>
      </c>
      <c r="P232" s="4">
        <v>8.7989999999999995</v>
      </c>
      <c r="Q232" s="12">
        <v>871.101</v>
      </c>
      <c r="R232" s="4" t="s">
        <v>478</v>
      </c>
      <c r="S232" s="4">
        <v>6.7039999999999997</v>
      </c>
      <c r="T232" s="4">
        <v>864.39700000000005</v>
      </c>
    </row>
    <row r="233" spans="1:20" ht="15" thickBot="1" x14ac:dyDescent="0.35">
      <c r="A233" s="2" t="s">
        <v>49</v>
      </c>
      <c r="B233" s="2" t="s">
        <v>59</v>
      </c>
      <c r="C233" s="2" t="s">
        <v>82</v>
      </c>
      <c r="D233" s="2" t="s">
        <v>131</v>
      </c>
      <c r="E233" s="2" t="s">
        <v>84</v>
      </c>
      <c r="F233" s="2" t="s">
        <v>132</v>
      </c>
      <c r="G233" s="2" t="s">
        <v>86</v>
      </c>
      <c r="H233" s="3">
        <v>43927</v>
      </c>
      <c r="I233" s="2" t="s">
        <v>91</v>
      </c>
      <c r="J233" s="2" t="s">
        <v>92</v>
      </c>
      <c r="K233" s="4">
        <v>2020</v>
      </c>
      <c r="L233" s="4">
        <v>2.5859999999999999</v>
      </c>
      <c r="M233" s="4" t="s">
        <v>87</v>
      </c>
      <c r="N233" s="4" t="s">
        <v>54</v>
      </c>
      <c r="O233" s="4" t="s">
        <v>479</v>
      </c>
      <c r="P233" s="4">
        <v>13.577</v>
      </c>
      <c r="Q233" s="12" t="s">
        <v>480</v>
      </c>
      <c r="R233" s="4" t="s">
        <v>481</v>
      </c>
      <c r="S233" s="4">
        <v>10.343999999999999</v>
      </c>
      <c r="T233" s="4" t="s">
        <v>482</v>
      </c>
    </row>
    <row r="234" spans="1:20" ht="15" thickBot="1" x14ac:dyDescent="0.35">
      <c r="A234" s="2" t="s">
        <v>33</v>
      </c>
      <c r="B234" s="2" t="s">
        <v>74</v>
      </c>
      <c r="C234" s="2" t="s">
        <v>22</v>
      </c>
      <c r="D234" s="2" t="s">
        <v>447</v>
      </c>
      <c r="E234" s="2" t="s">
        <v>24</v>
      </c>
      <c r="F234" s="2" t="s">
        <v>352</v>
      </c>
      <c r="G234" s="2" t="s">
        <v>86</v>
      </c>
      <c r="H234" s="3">
        <v>43845</v>
      </c>
      <c r="I234" s="2" t="s">
        <v>39</v>
      </c>
      <c r="J234" s="2" t="s">
        <v>40</v>
      </c>
      <c r="K234" s="4">
        <v>2020</v>
      </c>
      <c r="L234" s="4">
        <v>2.657</v>
      </c>
      <c r="M234" s="4" t="s">
        <v>29</v>
      </c>
      <c r="N234" s="4" t="s">
        <v>42</v>
      </c>
      <c r="O234" s="4">
        <v>61.110999999999997</v>
      </c>
      <c r="P234" s="4">
        <v>611</v>
      </c>
      <c r="Q234" s="12">
        <v>60.5</v>
      </c>
      <c r="R234" s="4" t="s">
        <v>483</v>
      </c>
      <c r="S234" s="4">
        <v>15.942</v>
      </c>
      <c r="T234" s="4">
        <v>44.558</v>
      </c>
    </row>
    <row r="235" spans="1:20" ht="29.4" thickBot="1" x14ac:dyDescent="0.35">
      <c r="A235" s="2" t="s">
        <v>43</v>
      </c>
      <c r="B235" s="2" t="s">
        <v>50</v>
      </c>
      <c r="C235" s="2" t="s">
        <v>22</v>
      </c>
      <c r="D235" s="2" t="s">
        <v>98</v>
      </c>
      <c r="E235" s="2" t="s">
        <v>24</v>
      </c>
      <c r="F235" s="2" t="s">
        <v>99</v>
      </c>
      <c r="G235" s="2" t="s">
        <v>86</v>
      </c>
      <c r="H235" s="3">
        <v>44163</v>
      </c>
      <c r="I235" s="2" t="s">
        <v>95</v>
      </c>
      <c r="J235" s="2" t="s">
        <v>96</v>
      </c>
      <c r="K235" s="4">
        <v>2020</v>
      </c>
      <c r="L235" s="4">
        <v>2.7610000000000001</v>
      </c>
      <c r="M235" s="4" t="s">
        <v>29</v>
      </c>
      <c r="N235" s="4" t="s">
        <v>47</v>
      </c>
      <c r="O235" s="4" t="s">
        <v>484</v>
      </c>
      <c r="P235" s="4">
        <v>12.425000000000001</v>
      </c>
      <c r="Q235" s="12" t="s">
        <v>485</v>
      </c>
      <c r="R235" s="4" t="s">
        <v>486</v>
      </c>
      <c r="S235" s="4">
        <v>16.565999999999999</v>
      </c>
      <c r="T235" s="4" t="s">
        <v>487</v>
      </c>
    </row>
    <row r="236" spans="1:20" ht="15" thickBot="1" x14ac:dyDescent="0.35">
      <c r="A236" s="2" t="s">
        <v>49</v>
      </c>
      <c r="B236" s="2" t="s">
        <v>44</v>
      </c>
      <c r="C236" s="2" t="s">
        <v>22</v>
      </c>
      <c r="D236" s="2" t="s">
        <v>253</v>
      </c>
      <c r="E236" s="2" t="s">
        <v>24</v>
      </c>
      <c r="F236" s="2" t="s">
        <v>254</v>
      </c>
      <c r="G236" s="2" t="s">
        <v>86</v>
      </c>
      <c r="H236" s="3">
        <v>44521</v>
      </c>
      <c r="I236" s="2" t="s">
        <v>95</v>
      </c>
      <c r="J236" s="2" t="s">
        <v>96</v>
      </c>
      <c r="K236" s="4">
        <v>2021</v>
      </c>
      <c r="L236" s="4">
        <v>1.651</v>
      </c>
      <c r="M236" s="4" t="s">
        <v>29</v>
      </c>
      <c r="N236" s="4" t="s">
        <v>165</v>
      </c>
      <c r="O236" s="4">
        <v>49.53</v>
      </c>
      <c r="P236" s="4">
        <v>495</v>
      </c>
      <c r="Q236" s="12">
        <v>49.034999999999997</v>
      </c>
      <c r="R236" s="4" t="s">
        <v>488</v>
      </c>
      <c r="S236" s="4">
        <v>9.9060000000000006</v>
      </c>
      <c r="T236" s="4">
        <v>39.128999999999998</v>
      </c>
    </row>
    <row r="237" spans="1:20" ht="15" thickBot="1" x14ac:dyDescent="0.35">
      <c r="A237" s="2" t="s">
        <v>49</v>
      </c>
      <c r="B237" s="2" t="s">
        <v>44</v>
      </c>
      <c r="C237" s="2" t="s">
        <v>22</v>
      </c>
      <c r="D237" s="2" t="s">
        <v>200</v>
      </c>
      <c r="E237" s="2" t="s">
        <v>24</v>
      </c>
      <c r="F237" s="2" t="s">
        <v>201</v>
      </c>
      <c r="G237" s="2" t="s">
        <v>86</v>
      </c>
      <c r="H237" s="3">
        <v>44050</v>
      </c>
      <c r="I237" s="2" t="s">
        <v>53</v>
      </c>
      <c r="J237" s="2" t="s">
        <v>28</v>
      </c>
      <c r="K237" s="4">
        <v>2020</v>
      </c>
      <c r="L237" s="4">
        <v>2.1960000000000002</v>
      </c>
      <c r="M237" s="4" t="s">
        <v>29</v>
      </c>
      <c r="N237" s="4" t="s">
        <v>116</v>
      </c>
      <c r="O237" s="4">
        <v>24.155999999999999</v>
      </c>
      <c r="P237" s="4">
        <v>242</v>
      </c>
      <c r="Q237" s="12">
        <v>23.914000000000001</v>
      </c>
      <c r="R237" s="5">
        <v>25173</v>
      </c>
      <c r="S237" s="4">
        <v>13.176</v>
      </c>
      <c r="T237" s="4">
        <v>10.738</v>
      </c>
    </row>
    <row r="238" spans="1:20" ht="15" thickBot="1" x14ac:dyDescent="0.35">
      <c r="A238" s="2" t="s">
        <v>33</v>
      </c>
      <c r="B238" s="2" t="s">
        <v>34</v>
      </c>
      <c r="C238" s="2" t="s">
        <v>35</v>
      </c>
      <c r="D238" s="2" t="s">
        <v>147</v>
      </c>
      <c r="E238" s="2" t="s">
        <v>37</v>
      </c>
      <c r="F238" s="2" t="s">
        <v>148</v>
      </c>
      <c r="G238" s="2" t="s">
        <v>86</v>
      </c>
      <c r="H238" s="3">
        <v>44446</v>
      </c>
      <c r="I238" s="2" t="s">
        <v>27</v>
      </c>
      <c r="J238" s="2" t="s">
        <v>28</v>
      </c>
      <c r="K238" s="4">
        <v>2021</v>
      </c>
      <c r="L238" s="4">
        <v>1.8169999999999999</v>
      </c>
      <c r="M238" s="4" t="s">
        <v>41</v>
      </c>
      <c r="N238" s="4" t="s">
        <v>42</v>
      </c>
      <c r="O238" s="4">
        <v>41.790999999999997</v>
      </c>
      <c r="P238" s="4">
        <v>418</v>
      </c>
      <c r="Q238" s="12">
        <v>41.372999999999998</v>
      </c>
      <c r="R238" s="4" t="s">
        <v>397</v>
      </c>
      <c r="S238" s="4">
        <v>21.803999999999998</v>
      </c>
      <c r="T238" s="4">
        <v>19.568999999999999</v>
      </c>
    </row>
    <row r="239" spans="1:20" ht="15" thickBot="1" x14ac:dyDescent="0.35">
      <c r="A239" s="2" t="s">
        <v>49</v>
      </c>
      <c r="B239" s="2" t="s">
        <v>44</v>
      </c>
      <c r="C239" s="2" t="s">
        <v>35</v>
      </c>
      <c r="D239" s="2" t="s">
        <v>150</v>
      </c>
      <c r="E239" s="2" t="s">
        <v>37</v>
      </c>
      <c r="F239" s="2" t="s">
        <v>151</v>
      </c>
      <c r="G239" s="2" t="s">
        <v>86</v>
      </c>
      <c r="H239" s="3">
        <v>43878</v>
      </c>
      <c r="I239" s="2" t="s">
        <v>79</v>
      </c>
      <c r="J239" s="2" t="s">
        <v>40</v>
      </c>
      <c r="K239" s="4">
        <v>2020</v>
      </c>
      <c r="L239" s="4">
        <v>5.391</v>
      </c>
      <c r="M239" s="4" t="s">
        <v>41</v>
      </c>
      <c r="N239" s="4" t="s">
        <v>116</v>
      </c>
      <c r="O239" s="4">
        <v>59.301000000000002</v>
      </c>
      <c r="P239" s="4">
        <v>593</v>
      </c>
      <c r="Q239" s="12">
        <v>58.707999999999998</v>
      </c>
      <c r="R239" s="4" t="s">
        <v>489</v>
      </c>
      <c r="S239" s="4">
        <v>64.691999999999993</v>
      </c>
      <c r="T239" s="4">
        <v>-5.984</v>
      </c>
    </row>
    <row r="240" spans="1:20" ht="15" thickBot="1" x14ac:dyDescent="0.35">
      <c r="A240" s="2" t="s">
        <v>20</v>
      </c>
      <c r="B240" s="2" t="s">
        <v>44</v>
      </c>
      <c r="C240" s="2" t="s">
        <v>35</v>
      </c>
      <c r="D240" s="2" t="s">
        <v>490</v>
      </c>
      <c r="E240" s="2" t="s">
        <v>37</v>
      </c>
      <c r="F240" s="2" t="s">
        <v>362</v>
      </c>
      <c r="G240" s="2" t="s">
        <v>86</v>
      </c>
      <c r="H240" s="3">
        <v>44260</v>
      </c>
      <c r="I240" s="2" t="s">
        <v>112</v>
      </c>
      <c r="J240" s="2" t="s">
        <v>40</v>
      </c>
      <c r="K240" s="4">
        <v>2021</v>
      </c>
      <c r="L240" s="4">
        <v>872</v>
      </c>
      <c r="M240" s="4" t="s">
        <v>41</v>
      </c>
      <c r="N240" s="4" t="s">
        <v>30</v>
      </c>
      <c r="O240" s="4">
        <v>163.93600000000001</v>
      </c>
      <c r="P240" s="4">
        <v>1.639</v>
      </c>
      <c r="Q240" s="12">
        <v>162.297</v>
      </c>
      <c r="R240" s="4" t="s">
        <v>491</v>
      </c>
      <c r="S240" s="4">
        <v>10.464</v>
      </c>
      <c r="T240" s="4">
        <v>151.833</v>
      </c>
    </row>
    <row r="241" spans="1:20" ht="15" thickBot="1" x14ac:dyDescent="0.35">
      <c r="A241" s="2" t="s">
        <v>20</v>
      </c>
      <c r="B241" s="2" t="s">
        <v>44</v>
      </c>
      <c r="C241" s="2" t="s">
        <v>35</v>
      </c>
      <c r="D241" s="2" t="s">
        <v>229</v>
      </c>
      <c r="E241" s="2" t="s">
        <v>37</v>
      </c>
      <c r="F241" s="2" t="s">
        <v>230</v>
      </c>
      <c r="G241" s="2" t="s">
        <v>86</v>
      </c>
      <c r="H241" s="3">
        <v>44006</v>
      </c>
      <c r="I241" s="2" t="s">
        <v>205</v>
      </c>
      <c r="J241" s="2" t="s">
        <v>92</v>
      </c>
      <c r="K241" s="4">
        <v>2020</v>
      </c>
      <c r="L241" s="4">
        <v>944</v>
      </c>
      <c r="M241" s="4" t="s">
        <v>41</v>
      </c>
      <c r="N241" s="4" t="s">
        <v>30</v>
      </c>
      <c r="O241" s="4">
        <v>177.47200000000001</v>
      </c>
      <c r="P241" s="4">
        <v>1.7749999999999999</v>
      </c>
      <c r="Q241" s="12">
        <v>175.697</v>
      </c>
      <c r="R241" s="4" t="s">
        <v>492</v>
      </c>
      <c r="S241" s="4">
        <v>11.327999999999999</v>
      </c>
      <c r="T241" s="4">
        <v>164.369</v>
      </c>
    </row>
    <row r="242" spans="1:20" ht="15" thickBot="1" x14ac:dyDescent="0.35">
      <c r="A242" s="2" t="s">
        <v>20</v>
      </c>
      <c r="B242" s="2" t="s">
        <v>74</v>
      </c>
      <c r="C242" s="2" t="s">
        <v>35</v>
      </c>
      <c r="D242" s="2" t="s">
        <v>140</v>
      </c>
      <c r="E242" s="2" t="s">
        <v>37</v>
      </c>
      <c r="F242" s="2" t="s">
        <v>141</v>
      </c>
      <c r="G242" s="2" t="s">
        <v>86</v>
      </c>
      <c r="H242" s="3">
        <v>44530</v>
      </c>
      <c r="I242" s="2" t="s">
        <v>95</v>
      </c>
      <c r="J242" s="2" t="s">
        <v>96</v>
      </c>
      <c r="K242" s="4">
        <v>2021</v>
      </c>
      <c r="L242" s="4">
        <v>2.1880000000000002</v>
      </c>
      <c r="M242" s="4" t="s">
        <v>41</v>
      </c>
      <c r="N242" s="4" t="s">
        <v>30</v>
      </c>
      <c r="O242" s="4">
        <v>411.34399999999999</v>
      </c>
      <c r="P242" s="4">
        <v>4.1130000000000004</v>
      </c>
      <c r="Q242" s="12">
        <v>407.23099999999999</v>
      </c>
      <c r="R242" s="4" t="s">
        <v>493</v>
      </c>
      <c r="S242" s="4">
        <v>26.256</v>
      </c>
      <c r="T242" s="4">
        <v>380.97500000000002</v>
      </c>
    </row>
    <row r="243" spans="1:20" ht="15" thickBot="1" x14ac:dyDescent="0.35">
      <c r="A243" s="2" t="s">
        <v>33</v>
      </c>
      <c r="B243" s="2" t="s">
        <v>64</v>
      </c>
      <c r="C243" s="2" t="s">
        <v>35</v>
      </c>
      <c r="D243" s="2" t="s">
        <v>187</v>
      </c>
      <c r="E243" s="2" t="s">
        <v>37</v>
      </c>
      <c r="F243" s="2" t="s">
        <v>188</v>
      </c>
      <c r="G243" s="2" t="s">
        <v>86</v>
      </c>
      <c r="H243" s="3">
        <v>43990</v>
      </c>
      <c r="I243" s="2" t="s">
        <v>205</v>
      </c>
      <c r="J243" s="2" t="s">
        <v>92</v>
      </c>
      <c r="K243" s="4">
        <v>2020</v>
      </c>
      <c r="L243" s="4">
        <v>896</v>
      </c>
      <c r="M243" s="4" t="s">
        <v>41</v>
      </c>
      <c r="N243" s="4" t="s">
        <v>42</v>
      </c>
      <c r="O243" s="4">
        <v>20.608000000000001</v>
      </c>
      <c r="P243" s="4">
        <v>206</v>
      </c>
      <c r="Q243" s="12">
        <v>20.402000000000001</v>
      </c>
      <c r="R243" s="6">
        <v>45911</v>
      </c>
      <c r="S243" s="4">
        <v>10.752000000000001</v>
      </c>
      <c r="T243" s="4">
        <v>9.65</v>
      </c>
    </row>
    <row r="244" spans="1:20" ht="29.4" thickBot="1" x14ac:dyDescent="0.35">
      <c r="A244" s="2" t="s">
        <v>43</v>
      </c>
      <c r="B244" s="2" t="s">
        <v>50</v>
      </c>
      <c r="C244" s="2" t="s">
        <v>35</v>
      </c>
      <c r="D244" s="2" t="s">
        <v>494</v>
      </c>
      <c r="E244" s="2" t="s">
        <v>37</v>
      </c>
      <c r="F244" s="2" t="s">
        <v>367</v>
      </c>
      <c r="G244" s="2" t="s">
        <v>86</v>
      </c>
      <c r="H244" s="3">
        <v>44213</v>
      </c>
      <c r="I244" s="2" t="s">
        <v>39</v>
      </c>
      <c r="J244" s="2" t="s">
        <v>40</v>
      </c>
      <c r="K244" s="4">
        <v>2021</v>
      </c>
      <c r="L244" s="4">
        <v>3.4860000000000002</v>
      </c>
      <c r="M244" s="4" t="s">
        <v>41</v>
      </c>
      <c r="N244" s="4" t="s">
        <v>47</v>
      </c>
      <c r="O244" s="4" t="s">
        <v>495</v>
      </c>
      <c r="P244" s="4">
        <v>15.686999999999999</v>
      </c>
      <c r="Q244" s="12" t="s">
        <v>496</v>
      </c>
      <c r="R244" s="4" t="s">
        <v>497</v>
      </c>
      <c r="S244" s="4">
        <v>41.832000000000001</v>
      </c>
      <c r="T244" s="4" t="s">
        <v>498</v>
      </c>
    </row>
    <row r="245" spans="1:20" ht="15" thickBot="1" x14ac:dyDescent="0.35">
      <c r="A245" s="2" t="s">
        <v>49</v>
      </c>
      <c r="B245" s="2" t="s">
        <v>50</v>
      </c>
      <c r="C245" s="2" t="s">
        <v>35</v>
      </c>
      <c r="D245" s="2" t="s">
        <v>233</v>
      </c>
      <c r="E245" s="2" t="s">
        <v>37</v>
      </c>
      <c r="F245" s="2" t="s">
        <v>234</v>
      </c>
      <c r="G245" s="2" t="s">
        <v>86</v>
      </c>
      <c r="H245" s="3">
        <v>44412</v>
      </c>
      <c r="I245" s="2" t="s">
        <v>53</v>
      </c>
      <c r="J245" s="2" t="s">
        <v>28</v>
      </c>
      <c r="K245" s="4">
        <v>2021</v>
      </c>
      <c r="L245" s="4">
        <v>2.5859999999999999</v>
      </c>
      <c r="M245" s="4" t="s">
        <v>41</v>
      </c>
      <c r="N245" s="4" t="s">
        <v>54</v>
      </c>
      <c r="O245" s="4" t="s">
        <v>479</v>
      </c>
      <c r="P245" s="4">
        <v>13.577</v>
      </c>
      <c r="Q245" s="12" t="s">
        <v>480</v>
      </c>
      <c r="R245" s="4" t="s">
        <v>481</v>
      </c>
      <c r="S245" s="4">
        <v>31.032</v>
      </c>
      <c r="T245" s="4" t="s">
        <v>499</v>
      </c>
    </row>
    <row r="246" spans="1:20" ht="15" thickBot="1" x14ac:dyDescent="0.35">
      <c r="A246" s="2" t="s">
        <v>49</v>
      </c>
      <c r="B246" s="2" t="s">
        <v>64</v>
      </c>
      <c r="C246" s="2" t="s">
        <v>69</v>
      </c>
      <c r="D246" s="2" t="s">
        <v>239</v>
      </c>
      <c r="E246" s="2" t="s">
        <v>71</v>
      </c>
      <c r="F246" s="2" t="s">
        <v>240</v>
      </c>
      <c r="G246" s="2" t="s">
        <v>86</v>
      </c>
      <c r="H246" s="3">
        <v>44117</v>
      </c>
      <c r="I246" s="2" t="s">
        <v>115</v>
      </c>
      <c r="J246" s="2" t="s">
        <v>96</v>
      </c>
      <c r="K246" s="4">
        <v>2020</v>
      </c>
      <c r="L246" s="4">
        <v>4.6369999999999996</v>
      </c>
      <c r="M246" s="4" t="s">
        <v>73</v>
      </c>
      <c r="N246" s="4" t="s">
        <v>165</v>
      </c>
      <c r="O246" s="4">
        <v>139.11000000000001</v>
      </c>
      <c r="P246" s="4">
        <v>1.391</v>
      </c>
      <c r="Q246" s="12">
        <v>137.71899999999999</v>
      </c>
      <c r="R246" s="4" t="s">
        <v>500</v>
      </c>
      <c r="S246" s="4">
        <v>686.27599999999995</v>
      </c>
      <c r="T246" s="4">
        <v>-548.55700000000002</v>
      </c>
    </row>
    <row r="247" spans="1:20" ht="15" thickBot="1" x14ac:dyDescent="0.35">
      <c r="A247" s="2" t="s">
        <v>49</v>
      </c>
      <c r="B247" s="2" t="s">
        <v>68</v>
      </c>
      <c r="C247" s="2" t="s">
        <v>69</v>
      </c>
      <c r="D247" s="2" t="s">
        <v>163</v>
      </c>
      <c r="E247" s="2" t="s">
        <v>71</v>
      </c>
      <c r="F247" s="2" t="s">
        <v>164</v>
      </c>
      <c r="G247" s="2" t="s">
        <v>86</v>
      </c>
      <c r="H247" s="3">
        <v>44501</v>
      </c>
      <c r="I247" s="2" t="s">
        <v>95</v>
      </c>
      <c r="J247" s="2" t="s">
        <v>96</v>
      </c>
      <c r="K247" s="4">
        <v>2021</v>
      </c>
      <c r="L247" s="4">
        <v>434</v>
      </c>
      <c r="M247" s="4" t="s">
        <v>73</v>
      </c>
      <c r="N247" s="4" t="s">
        <v>116</v>
      </c>
      <c r="O247" s="4">
        <v>4.774</v>
      </c>
      <c r="P247" s="4">
        <v>48</v>
      </c>
      <c r="Q247" s="12">
        <v>4.726</v>
      </c>
      <c r="R247" s="5">
        <v>18660</v>
      </c>
      <c r="S247" s="4">
        <v>64.231999999999999</v>
      </c>
      <c r="T247" s="4">
        <v>-59.506</v>
      </c>
    </row>
    <row r="248" spans="1:20" ht="15" thickBot="1" x14ac:dyDescent="0.35">
      <c r="A248" s="2" t="s">
        <v>20</v>
      </c>
      <c r="B248" s="2" t="s">
        <v>68</v>
      </c>
      <c r="C248" s="2" t="s">
        <v>69</v>
      </c>
      <c r="D248" s="2" t="s">
        <v>70</v>
      </c>
      <c r="E248" s="2" t="s">
        <v>71</v>
      </c>
      <c r="F248" s="2" t="s">
        <v>72</v>
      </c>
      <c r="G248" s="2" t="s">
        <v>86</v>
      </c>
      <c r="H248" s="3">
        <v>44290</v>
      </c>
      <c r="I248" s="2" t="s">
        <v>91</v>
      </c>
      <c r="J248" s="2" t="s">
        <v>92</v>
      </c>
      <c r="K248" s="4">
        <v>2021</v>
      </c>
      <c r="L248" s="4">
        <v>1.1080000000000001</v>
      </c>
      <c r="M248" s="4" t="s">
        <v>73</v>
      </c>
      <c r="N248" s="4" t="s">
        <v>30</v>
      </c>
      <c r="O248" s="4">
        <v>208.304</v>
      </c>
      <c r="P248" s="4">
        <v>2.0830000000000002</v>
      </c>
      <c r="Q248" s="12">
        <v>206.221</v>
      </c>
      <c r="R248" s="4" t="s">
        <v>501</v>
      </c>
      <c r="S248" s="4">
        <v>163.98400000000001</v>
      </c>
      <c r="T248" s="4">
        <v>42.237000000000002</v>
      </c>
    </row>
    <row r="249" spans="1:20" ht="15" thickBot="1" x14ac:dyDescent="0.35">
      <c r="A249" s="2" t="s">
        <v>49</v>
      </c>
      <c r="B249" s="2" t="s">
        <v>74</v>
      </c>
      <c r="C249" s="2" t="s">
        <v>75</v>
      </c>
      <c r="D249" s="2" t="s">
        <v>244</v>
      </c>
      <c r="E249" s="2" t="s">
        <v>77</v>
      </c>
      <c r="F249" s="2" t="s">
        <v>245</v>
      </c>
      <c r="G249" s="2" t="s">
        <v>86</v>
      </c>
      <c r="H249" s="3">
        <v>44552</v>
      </c>
      <c r="I249" s="2" t="s">
        <v>100</v>
      </c>
      <c r="J249" s="2" t="s">
        <v>96</v>
      </c>
      <c r="K249" s="4">
        <v>2021</v>
      </c>
      <c r="L249" s="4">
        <v>316</v>
      </c>
      <c r="M249" s="4" t="s">
        <v>80</v>
      </c>
      <c r="N249" s="4" t="s">
        <v>116</v>
      </c>
      <c r="O249" s="4">
        <v>3.476</v>
      </c>
      <c r="P249" s="4">
        <v>35</v>
      </c>
      <c r="Q249" s="12">
        <v>3.4409999999999998</v>
      </c>
      <c r="R249" s="5">
        <v>29952</v>
      </c>
      <c r="S249" s="4">
        <v>97.328000000000003</v>
      </c>
      <c r="T249" s="4">
        <v>-93.887</v>
      </c>
    </row>
    <row r="250" spans="1:20" ht="15" thickBot="1" x14ac:dyDescent="0.35">
      <c r="A250" s="2" t="s">
        <v>49</v>
      </c>
      <c r="B250" s="2" t="s">
        <v>68</v>
      </c>
      <c r="C250" s="2" t="s">
        <v>75</v>
      </c>
      <c r="D250" s="2" t="s">
        <v>242</v>
      </c>
      <c r="E250" s="2" t="s">
        <v>77</v>
      </c>
      <c r="F250" s="2" t="s">
        <v>243</v>
      </c>
      <c r="G250" s="2" t="s">
        <v>86</v>
      </c>
      <c r="H250" s="3">
        <v>44095</v>
      </c>
      <c r="I250" s="2" t="s">
        <v>27</v>
      </c>
      <c r="J250" s="2" t="s">
        <v>28</v>
      </c>
      <c r="K250" s="4">
        <v>2020</v>
      </c>
      <c r="L250" s="4">
        <v>1.1319999999999999</v>
      </c>
      <c r="M250" s="4" t="s">
        <v>80</v>
      </c>
      <c r="N250" s="4" t="s">
        <v>54</v>
      </c>
      <c r="O250" s="4">
        <v>594.29999999999995</v>
      </c>
      <c r="P250" s="4">
        <v>5.9429999999999996</v>
      </c>
      <c r="Q250" s="12">
        <v>588.35699999999997</v>
      </c>
      <c r="R250" s="4" t="s">
        <v>502</v>
      </c>
      <c r="S250" s="4">
        <v>348.65600000000001</v>
      </c>
      <c r="T250" s="4">
        <v>239.70099999999999</v>
      </c>
    </row>
    <row r="251" spans="1:20" ht="15" thickBot="1" x14ac:dyDescent="0.35">
      <c r="A251" s="2" t="s">
        <v>20</v>
      </c>
      <c r="B251" s="2" t="s">
        <v>59</v>
      </c>
      <c r="C251" s="2" t="s">
        <v>75</v>
      </c>
      <c r="D251" s="2" t="s">
        <v>503</v>
      </c>
      <c r="E251" s="2" t="s">
        <v>77</v>
      </c>
      <c r="F251" s="2" t="s">
        <v>249</v>
      </c>
      <c r="G251" s="2" t="s">
        <v>86</v>
      </c>
      <c r="H251" s="3">
        <v>43951</v>
      </c>
      <c r="I251" s="2" t="s">
        <v>91</v>
      </c>
      <c r="J251" s="2" t="s">
        <v>92</v>
      </c>
      <c r="K251" s="4">
        <v>2020</v>
      </c>
      <c r="L251" s="4">
        <v>872</v>
      </c>
      <c r="M251" s="4" t="s">
        <v>80</v>
      </c>
      <c r="N251" s="4" t="s">
        <v>30</v>
      </c>
      <c r="O251" s="4">
        <v>163.93600000000001</v>
      </c>
      <c r="P251" s="4">
        <v>1.639</v>
      </c>
      <c r="Q251" s="12">
        <v>162.297</v>
      </c>
      <c r="R251" s="4" t="s">
        <v>491</v>
      </c>
      <c r="S251" s="4">
        <v>268.57600000000002</v>
      </c>
      <c r="T251" s="4">
        <v>-106.279</v>
      </c>
    </row>
    <row r="252" spans="1:20" ht="15" thickBot="1" x14ac:dyDescent="0.35">
      <c r="A252" s="2" t="s">
        <v>20</v>
      </c>
      <c r="B252" s="2" t="s">
        <v>64</v>
      </c>
      <c r="C252" s="2" t="s">
        <v>75</v>
      </c>
      <c r="D252" s="2" t="s">
        <v>504</v>
      </c>
      <c r="E252" s="2" t="s">
        <v>77</v>
      </c>
      <c r="F252" s="2" t="s">
        <v>371</v>
      </c>
      <c r="G252" s="2" t="s">
        <v>86</v>
      </c>
      <c r="H252" s="3">
        <v>43978</v>
      </c>
      <c r="I252" s="2" t="s">
        <v>142</v>
      </c>
      <c r="J252" s="2" t="s">
        <v>92</v>
      </c>
      <c r="K252" s="4">
        <v>2020</v>
      </c>
      <c r="L252" s="4">
        <v>944</v>
      </c>
      <c r="M252" s="4" t="s">
        <v>80</v>
      </c>
      <c r="N252" s="4" t="s">
        <v>30</v>
      </c>
      <c r="O252" s="4">
        <v>177.47200000000001</v>
      </c>
      <c r="P252" s="4">
        <v>1.7749999999999999</v>
      </c>
      <c r="Q252" s="12">
        <v>175.697</v>
      </c>
      <c r="R252" s="4" t="s">
        <v>492</v>
      </c>
      <c r="S252" s="4">
        <v>290.75200000000001</v>
      </c>
      <c r="T252" s="4">
        <v>-115.05500000000001</v>
      </c>
    </row>
    <row r="253" spans="1:20" ht="29.4" thickBot="1" x14ac:dyDescent="0.35">
      <c r="A253" s="2" t="s">
        <v>43</v>
      </c>
      <c r="B253" s="2" t="s">
        <v>74</v>
      </c>
      <c r="C253" s="2" t="s">
        <v>75</v>
      </c>
      <c r="D253" s="2" t="s">
        <v>166</v>
      </c>
      <c r="E253" s="2" t="s">
        <v>77</v>
      </c>
      <c r="F253" s="2" t="s">
        <v>167</v>
      </c>
      <c r="G253" s="2" t="s">
        <v>86</v>
      </c>
      <c r="H253" s="3">
        <v>44478</v>
      </c>
      <c r="I253" s="2" t="s">
        <v>115</v>
      </c>
      <c r="J253" s="2" t="s">
        <v>96</v>
      </c>
      <c r="K253" s="4">
        <v>2021</v>
      </c>
      <c r="L253" s="4">
        <v>1.1830000000000001</v>
      </c>
      <c r="M253" s="4" t="s">
        <v>80</v>
      </c>
      <c r="N253" s="4" t="s">
        <v>47</v>
      </c>
      <c r="O253" s="4">
        <v>532.35</v>
      </c>
      <c r="P253" s="4">
        <v>5.3239999999999998</v>
      </c>
      <c r="Q253" s="12">
        <v>527.02700000000004</v>
      </c>
      <c r="R253" s="4" t="s">
        <v>505</v>
      </c>
      <c r="S253" s="4">
        <v>364.36399999999998</v>
      </c>
      <c r="T253" s="4">
        <v>162.66300000000001</v>
      </c>
    </row>
    <row r="254" spans="1:20" ht="15" thickBot="1" x14ac:dyDescent="0.35">
      <c r="A254" s="2" t="s">
        <v>49</v>
      </c>
      <c r="B254" s="2" t="s">
        <v>34</v>
      </c>
      <c r="C254" s="2" t="s">
        <v>75</v>
      </c>
      <c r="D254" s="2" t="s">
        <v>171</v>
      </c>
      <c r="E254" s="2" t="s">
        <v>77</v>
      </c>
      <c r="F254" s="2" t="s">
        <v>172</v>
      </c>
      <c r="G254" s="2" t="s">
        <v>86</v>
      </c>
      <c r="H254" s="3">
        <v>44478</v>
      </c>
      <c r="I254" s="2" t="s">
        <v>115</v>
      </c>
      <c r="J254" s="2" t="s">
        <v>96</v>
      </c>
      <c r="K254" s="4">
        <v>2021</v>
      </c>
      <c r="L254" s="4">
        <v>1.6759999999999999</v>
      </c>
      <c r="M254" s="4" t="s">
        <v>80</v>
      </c>
      <c r="N254" s="4" t="s">
        <v>54</v>
      </c>
      <c r="O254" s="4">
        <v>879.9</v>
      </c>
      <c r="P254" s="4">
        <v>8.7989999999999995</v>
      </c>
      <c r="Q254" s="12">
        <v>871.101</v>
      </c>
      <c r="R254" s="4" t="s">
        <v>478</v>
      </c>
      <c r="S254" s="4">
        <v>516.20799999999997</v>
      </c>
      <c r="T254" s="4">
        <v>354.89299999999997</v>
      </c>
    </row>
    <row r="255" spans="1:20" ht="15" thickBot="1" x14ac:dyDescent="0.35">
      <c r="A255" s="2" t="s">
        <v>20</v>
      </c>
      <c r="B255" s="2" t="s">
        <v>64</v>
      </c>
      <c r="C255" s="2" t="s">
        <v>75</v>
      </c>
      <c r="D255" s="2" t="s">
        <v>504</v>
      </c>
      <c r="E255" s="2" t="s">
        <v>77</v>
      </c>
      <c r="F255" s="2" t="s">
        <v>371</v>
      </c>
      <c r="G255" s="2" t="s">
        <v>86</v>
      </c>
      <c r="H255" s="3">
        <v>44095</v>
      </c>
      <c r="I255" s="2" t="s">
        <v>27</v>
      </c>
      <c r="J255" s="2" t="s">
        <v>28</v>
      </c>
      <c r="K255" s="4">
        <v>2020</v>
      </c>
      <c r="L255" s="4">
        <v>2.093</v>
      </c>
      <c r="M255" s="4" t="s">
        <v>80</v>
      </c>
      <c r="N255" s="4" t="s">
        <v>30</v>
      </c>
      <c r="O255" s="4">
        <v>393.48399999999998</v>
      </c>
      <c r="P255" s="4">
        <v>3.9350000000000001</v>
      </c>
      <c r="Q255" s="12">
        <v>389.54899999999998</v>
      </c>
      <c r="R255" s="4" t="s">
        <v>506</v>
      </c>
      <c r="S255" s="4">
        <v>644.64400000000001</v>
      </c>
      <c r="T255" s="4">
        <v>-255.095</v>
      </c>
    </row>
    <row r="256" spans="1:20" ht="15" thickBot="1" x14ac:dyDescent="0.35">
      <c r="A256" s="2" t="s">
        <v>20</v>
      </c>
      <c r="B256" s="2" t="s">
        <v>64</v>
      </c>
      <c r="C256" s="2" t="s">
        <v>82</v>
      </c>
      <c r="D256" s="2" t="s">
        <v>370</v>
      </c>
      <c r="E256" s="2" t="s">
        <v>84</v>
      </c>
      <c r="F256" s="2" t="s">
        <v>371</v>
      </c>
      <c r="G256" s="2" t="s">
        <v>86</v>
      </c>
      <c r="H256" s="3">
        <v>44343</v>
      </c>
      <c r="I256" s="2" t="s">
        <v>142</v>
      </c>
      <c r="J256" s="2" t="s">
        <v>92</v>
      </c>
      <c r="K256" s="4">
        <v>2021</v>
      </c>
      <c r="L256" s="4">
        <v>891</v>
      </c>
      <c r="M256" s="4" t="s">
        <v>87</v>
      </c>
      <c r="N256" s="4" t="s">
        <v>30</v>
      </c>
      <c r="O256" s="4">
        <v>167.50800000000001</v>
      </c>
      <c r="P256" s="4">
        <v>3.35</v>
      </c>
      <c r="Q256" s="12">
        <v>164.15799999999999</v>
      </c>
      <c r="R256" s="4" t="s">
        <v>507</v>
      </c>
      <c r="S256" s="4">
        <v>3.5640000000000001</v>
      </c>
      <c r="T256" s="4">
        <v>160.59399999999999</v>
      </c>
    </row>
    <row r="257" spans="1:20" ht="29.4" thickBot="1" x14ac:dyDescent="0.35">
      <c r="A257" s="2" t="s">
        <v>58</v>
      </c>
      <c r="B257" s="2" t="s">
        <v>50</v>
      </c>
      <c r="C257" s="2" t="s">
        <v>82</v>
      </c>
      <c r="D257" s="2" t="s">
        <v>179</v>
      </c>
      <c r="E257" s="2" t="s">
        <v>84</v>
      </c>
      <c r="F257" s="2" t="s">
        <v>180</v>
      </c>
      <c r="G257" s="2" t="s">
        <v>86</v>
      </c>
      <c r="H257" s="3">
        <v>43954</v>
      </c>
      <c r="I257" s="2" t="s">
        <v>142</v>
      </c>
      <c r="J257" s="2" t="s">
        <v>92</v>
      </c>
      <c r="K257" s="4">
        <v>2020</v>
      </c>
      <c r="L257" s="4">
        <v>1.554</v>
      </c>
      <c r="M257" s="4" t="s">
        <v>87</v>
      </c>
      <c r="N257" s="4" t="s">
        <v>63</v>
      </c>
      <c r="O257" s="4">
        <v>27.972000000000001</v>
      </c>
      <c r="P257" s="4">
        <v>559</v>
      </c>
      <c r="Q257" s="12">
        <v>27.413</v>
      </c>
      <c r="R257" s="4" t="s">
        <v>508</v>
      </c>
      <c r="S257" s="4">
        <v>6.2160000000000002</v>
      </c>
      <c r="T257" s="4">
        <v>21.196999999999999</v>
      </c>
    </row>
    <row r="258" spans="1:20" ht="15" thickBot="1" x14ac:dyDescent="0.35">
      <c r="A258" s="2" t="s">
        <v>49</v>
      </c>
      <c r="B258" s="2" t="s">
        <v>34</v>
      </c>
      <c r="C258" s="2" t="s">
        <v>82</v>
      </c>
      <c r="D258" s="2" t="s">
        <v>197</v>
      </c>
      <c r="E258" s="2" t="s">
        <v>84</v>
      </c>
      <c r="F258" s="2" t="s">
        <v>198</v>
      </c>
      <c r="G258" s="2" t="s">
        <v>86</v>
      </c>
      <c r="H258" s="3">
        <v>44032</v>
      </c>
      <c r="I258" s="2" t="s">
        <v>62</v>
      </c>
      <c r="J258" s="2" t="s">
        <v>28</v>
      </c>
      <c r="K258" s="4">
        <v>2020</v>
      </c>
      <c r="L258" s="4">
        <v>3.4220000000000002</v>
      </c>
      <c r="M258" s="4" t="s">
        <v>87</v>
      </c>
      <c r="N258" s="4" t="s">
        <v>54</v>
      </c>
      <c r="O258" s="4" t="s">
        <v>509</v>
      </c>
      <c r="P258" s="4">
        <v>35.930999999999997</v>
      </c>
      <c r="Q258" s="12" t="s">
        <v>510</v>
      </c>
      <c r="R258" s="4" t="s">
        <v>511</v>
      </c>
      <c r="S258" s="4">
        <v>13.688000000000001</v>
      </c>
      <c r="T258" s="4" t="s">
        <v>512</v>
      </c>
    </row>
    <row r="259" spans="1:20" ht="29.4" thickBot="1" x14ac:dyDescent="0.35">
      <c r="A259" s="2" t="s">
        <v>58</v>
      </c>
      <c r="B259" s="2" t="s">
        <v>68</v>
      </c>
      <c r="C259" s="2" t="s">
        <v>22</v>
      </c>
      <c r="D259" s="2" t="s">
        <v>513</v>
      </c>
      <c r="E259" s="2" t="s">
        <v>24</v>
      </c>
      <c r="F259" s="2" t="s">
        <v>378</v>
      </c>
      <c r="G259" s="2" t="s">
        <v>86</v>
      </c>
      <c r="H259" s="3">
        <v>44510</v>
      </c>
      <c r="I259" s="2" t="s">
        <v>95</v>
      </c>
      <c r="J259" s="2" t="s">
        <v>96</v>
      </c>
      <c r="K259" s="4">
        <v>2021</v>
      </c>
      <c r="L259" s="4">
        <v>1.37</v>
      </c>
      <c r="M259" s="4" t="s">
        <v>29</v>
      </c>
      <c r="N259" s="4" t="s">
        <v>63</v>
      </c>
      <c r="O259" s="4">
        <v>24.66</v>
      </c>
      <c r="P259" s="4">
        <v>493</v>
      </c>
      <c r="Q259" s="12">
        <v>24.167000000000002</v>
      </c>
      <c r="R259" s="4" t="s">
        <v>514</v>
      </c>
      <c r="S259" s="4">
        <v>8.2200000000000006</v>
      </c>
      <c r="T259" s="4">
        <v>15.946999999999999</v>
      </c>
    </row>
    <row r="260" spans="1:20" ht="15" thickBot="1" x14ac:dyDescent="0.35">
      <c r="A260" s="2" t="s">
        <v>49</v>
      </c>
      <c r="B260" s="2" t="s">
        <v>44</v>
      </c>
      <c r="C260" s="2" t="s">
        <v>22</v>
      </c>
      <c r="D260" s="2" t="s">
        <v>391</v>
      </c>
      <c r="E260" s="2" t="s">
        <v>24</v>
      </c>
      <c r="F260" s="2" t="s">
        <v>310</v>
      </c>
      <c r="G260" s="2" t="s">
        <v>86</v>
      </c>
      <c r="H260" s="3">
        <v>44029</v>
      </c>
      <c r="I260" s="2" t="s">
        <v>62</v>
      </c>
      <c r="J260" s="2" t="s">
        <v>28</v>
      </c>
      <c r="K260" s="4">
        <v>2020</v>
      </c>
      <c r="L260" s="4">
        <v>1.879</v>
      </c>
      <c r="M260" s="4" t="s">
        <v>29</v>
      </c>
      <c r="N260" s="4" t="s">
        <v>165</v>
      </c>
      <c r="O260" s="4">
        <v>56.37</v>
      </c>
      <c r="P260" s="4">
        <v>1.127</v>
      </c>
      <c r="Q260" s="12">
        <v>55.243000000000002</v>
      </c>
      <c r="R260" s="4" t="s">
        <v>515</v>
      </c>
      <c r="S260" s="4">
        <v>11.273999999999999</v>
      </c>
      <c r="T260" s="4">
        <v>43.969000000000001</v>
      </c>
    </row>
    <row r="261" spans="1:20" ht="29.4" thickBot="1" x14ac:dyDescent="0.35">
      <c r="A261" s="2" t="s">
        <v>58</v>
      </c>
      <c r="B261" s="2" t="s">
        <v>74</v>
      </c>
      <c r="C261" s="2" t="s">
        <v>22</v>
      </c>
      <c r="D261" s="2" t="s">
        <v>516</v>
      </c>
      <c r="E261" s="2" t="s">
        <v>24</v>
      </c>
      <c r="F261" s="2" t="s">
        <v>294</v>
      </c>
      <c r="G261" s="2" t="s">
        <v>86</v>
      </c>
      <c r="H261" s="3">
        <v>44403</v>
      </c>
      <c r="I261" s="2" t="s">
        <v>62</v>
      </c>
      <c r="J261" s="2" t="s">
        <v>28</v>
      </c>
      <c r="K261" s="4">
        <v>2021</v>
      </c>
      <c r="L261" s="4">
        <v>828</v>
      </c>
      <c r="M261" s="4" t="s">
        <v>29</v>
      </c>
      <c r="N261" s="4" t="s">
        <v>63</v>
      </c>
      <c r="O261" s="4">
        <v>14.904</v>
      </c>
      <c r="P261" s="4">
        <v>298</v>
      </c>
      <c r="Q261" s="12">
        <v>14.606</v>
      </c>
      <c r="R261" s="6">
        <v>45969</v>
      </c>
      <c r="S261" s="4">
        <v>4.968</v>
      </c>
      <c r="T261" s="4">
        <v>9.6379999999999999</v>
      </c>
    </row>
    <row r="262" spans="1:20" ht="15" thickBot="1" x14ac:dyDescent="0.35">
      <c r="A262" s="2" t="s">
        <v>33</v>
      </c>
      <c r="B262" s="2" t="s">
        <v>64</v>
      </c>
      <c r="C262" s="2" t="s">
        <v>35</v>
      </c>
      <c r="D262" s="2" t="s">
        <v>65</v>
      </c>
      <c r="E262" s="2" t="s">
        <v>37</v>
      </c>
      <c r="F262" s="2" t="s">
        <v>66</v>
      </c>
      <c r="G262" s="2" t="s">
        <v>86</v>
      </c>
      <c r="H262" s="3">
        <v>44493</v>
      </c>
      <c r="I262" s="2" t="s">
        <v>115</v>
      </c>
      <c r="J262" s="2" t="s">
        <v>96</v>
      </c>
      <c r="K262" s="4">
        <v>2021</v>
      </c>
      <c r="L262" s="4">
        <v>2.8359999999999999</v>
      </c>
      <c r="M262" s="4" t="s">
        <v>41</v>
      </c>
      <c r="N262" s="4" t="s">
        <v>42</v>
      </c>
      <c r="O262" s="4">
        <v>65.227999999999994</v>
      </c>
      <c r="P262" s="4">
        <v>1.3049999999999999</v>
      </c>
      <c r="Q262" s="12">
        <v>63.923000000000002</v>
      </c>
      <c r="R262" s="4" t="s">
        <v>517</v>
      </c>
      <c r="S262" s="4">
        <v>34.031999999999996</v>
      </c>
      <c r="T262" s="4">
        <v>29.890999999999998</v>
      </c>
    </row>
    <row r="263" spans="1:20" ht="29.4" thickBot="1" x14ac:dyDescent="0.35">
      <c r="A263" s="2" t="s">
        <v>43</v>
      </c>
      <c r="B263" s="2" t="s">
        <v>21</v>
      </c>
      <c r="C263" s="2" t="s">
        <v>35</v>
      </c>
      <c r="D263" s="2" t="s">
        <v>518</v>
      </c>
      <c r="E263" s="2" t="s">
        <v>37</v>
      </c>
      <c r="F263" s="2" t="s">
        <v>298</v>
      </c>
      <c r="G263" s="2" t="s">
        <v>86</v>
      </c>
      <c r="H263" s="3">
        <v>43984</v>
      </c>
      <c r="I263" s="2" t="s">
        <v>205</v>
      </c>
      <c r="J263" s="2" t="s">
        <v>92</v>
      </c>
      <c r="K263" s="4">
        <v>2020</v>
      </c>
      <c r="L263" s="4">
        <v>1.1020000000000001</v>
      </c>
      <c r="M263" s="4" t="s">
        <v>41</v>
      </c>
      <c r="N263" s="4" t="s">
        <v>47</v>
      </c>
      <c r="O263" s="4">
        <v>495.9</v>
      </c>
      <c r="P263" s="4">
        <v>9.9179999999999993</v>
      </c>
      <c r="Q263" s="12">
        <v>485.98200000000003</v>
      </c>
      <c r="R263" s="4" t="s">
        <v>519</v>
      </c>
      <c r="S263" s="4">
        <v>13.224</v>
      </c>
      <c r="T263" s="4">
        <v>472.75799999999998</v>
      </c>
    </row>
    <row r="264" spans="1:20" ht="29.4" thickBot="1" x14ac:dyDescent="0.35">
      <c r="A264" s="2" t="s">
        <v>43</v>
      </c>
      <c r="B264" s="2" t="s">
        <v>59</v>
      </c>
      <c r="C264" s="2" t="s">
        <v>35</v>
      </c>
      <c r="D264" s="2" t="s">
        <v>285</v>
      </c>
      <c r="E264" s="2" t="s">
        <v>37</v>
      </c>
      <c r="F264" s="2" t="s">
        <v>249</v>
      </c>
      <c r="G264" s="2" t="s">
        <v>86</v>
      </c>
      <c r="H264" s="3">
        <v>44041</v>
      </c>
      <c r="I264" s="2" t="s">
        <v>62</v>
      </c>
      <c r="J264" s="2" t="s">
        <v>28</v>
      </c>
      <c r="K264" s="4">
        <v>2020</v>
      </c>
      <c r="L264" s="4">
        <v>2.0739999999999998</v>
      </c>
      <c r="M264" s="4" t="s">
        <v>41</v>
      </c>
      <c r="N264" s="4" t="s">
        <v>47</v>
      </c>
      <c r="O264" s="4">
        <v>933.3</v>
      </c>
      <c r="P264" s="4">
        <v>18.666</v>
      </c>
      <c r="Q264" s="12">
        <v>914.63400000000001</v>
      </c>
      <c r="R264" s="4" t="s">
        <v>520</v>
      </c>
      <c r="S264" s="4">
        <v>24.888000000000002</v>
      </c>
      <c r="T264" s="4">
        <v>889.74599999999998</v>
      </c>
    </row>
    <row r="265" spans="1:20" ht="29.4" thickBot="1" x14ac:dyDescent="0.35">
      <c r="A265" s="2" t="s">
        <v>58</v>
      </c>
      <c r="B265" s="2" t="s">
        <v>59</v>
      </c>
      <c r="C265" s="2" t="s">
        <v>35</v>
      </c>
      <c r="D265" s="2" t="s">
        <v>60</v>
      </c>
      <c r="E265" s="2" t="s">
        <v>37</v>
      </c>
      <c r="F265" s="2" t="s">
        <v>61</v>
      </c>
      <c r="G265" s="2" t="s">
        <v>86</v>
      </c>
      <c r="H265" s="3">
        <v>43971</v>
      </c>
      <c r="I265" s="2" t="s">
        <v>142</v>
      </c>
      <c r="J265" s="2" t="s">
        <v>92</v>
      </c>
      <c r="K265" s="4">
        <v>2020</v>
      </c>
      <c r="L265" s="4">
        <v>1.37</v>
      </c>
      <c r="M265" s="4" t="s">
        <v>41</v>
      </c>
      <c r="N265" s="4" t="s">
        <v>63</v>
      </c>
      <c r="O265" s="4">
        <v>24.66</v>
      </c>
      <c r="P265" s="4">
        <v>493</v>
      </c>
      <c r="Q265" s="12">
        <v>24.167000000000002</v>
      </c>
      <c r="R265" s="4" t="s">
        <v>514</v>
      </c>
      <c r="S265" s="4">
        <v>16.440000000000001</v>
      </c>
      <c r="T265" s="4">
        <v>7.7270000000000003</v>
      </c>
    </row>
    <row r="266" spans="1:20" ht="15" thickBot="1" x14ac:dyDescent="0.35">
      <c r="A266" s="2" t="s">
        <v>20</v>
      </c>
      <c r="B266" s="2" t="s">
        <v>74</v>
      </c>
      <c r="C266" s="2" t="s">
        <v>35</v>
      </c>
      <c r="D266" s="2" t="s">
        <v>140</v>
      </c>
      <c r="E266" s="2" t="s">
        <v>37</v>
      </c>
      <c r="F266" s="2" t="s">
        <v>141</v>
      </c>
      <c r="G266" s="2" t="s">
        <v>86</v>
      </c>
      <c r="H266" s="3">
        <v>43952</v>
      </c>
      <c r="I266" s="2" t="s">
        <v>142</v>
      </c>
      <c r="J266" s="2" t="s">
        <v>92</v>
      </c>
      <c r="K266" s="4">
        <v>2020</v>
      </c>
      <c r="L266" s="4">
        <v>794</v>
      </c>
      <c r="M266" s="4" t="s">
        <v>41</v>
      </c>
      <c r="N266" s="4" t="s">
        <v>30</v>
      </c>
      <c r="O266" s="4">
        <v>149.27199999999999</v>
      </c>
      <c r="P266" s="4">
        <v>2.9849999999999999</v>
      </c>
      <c r="Q266" s="12">
        <v>146.28700000000001</v>
      </c>
      <c r="R266" s="4" t="s">
        <v>521</v>
      </c>
      <c r="S266" s="4">
        <v>9.5280000000000005</v>
      </c>
      <c r="T266" s="4">
        <v>136.75899999999999</v>
      </c>
    </row>
    <row r="267" spans="1:20" ht="29.4" thickBot="1" x14ac:dyDescent="0.35">
      <c r="A267" s="2" t="s">
        <v>58</v>
      </c>
      <c r="B267" s="2" t="s">
        <v>50</v>
      </c>
      <c r="C267" s="2" t="s">
        <v>35</v>
      </c>
      <c r="D267" s="2" t="s">
        <v>255</v>
      </c>
      <c r="E267" s="2" t="s">
        <v>37</v>
      </c>
      <c r="F267" s="2" t="s">
        <v>198</v>
      </c>
      <c r="G267" s="2" t="s">
        <v>86</v>
      </c>
      <c r="H267" s="3">
        <v>43884</v>
      </c>
      <c r="I267" s="2" t="s">
        <v>79</v>
      </c>
      <c r="J267" s="2" t="s">
        <v>40</v>
      </c>
      <c r="K267" s="4">
        <v>2020</v>
      </c>
      <c r="L267" s="4">
        <v>1.554</v>
      </c>
      <c r="M267" s="4" t="s">
        <v>41</v>
      </c>
      <c r="N267" s="4" t="s">
        <v>63</v>
      </c>
      <c r="O267" s="4">
        <v>27.972000000000001</v>
      </c>
      <c r="P267" s="4">
        <v>559</v>
      </c>
      <c r="Q267" s="12">
        <v>27.413</v>
      </c>
      <c r="R267" s="4" t="s">
        <v>508</v>
      </c>
      <c r="S267" s="4">
        <v>18.648</v>
      </c>
      <c r="T267" s="4">
        <v>8.7650000000000006</v>
      </c>
    </row>
    <row r="268" spans="1:20" ht="29.4" thickBot="1" x14ac:dyDescent="0.35">
      <c r="A268" s="2" t="s">
        <v>43</v>
      </c>
      <c r="B268" s="2" t="s">
        <v>64</v>
      </c>
      <c r="C268" s="2" t="s">
        <v>35</v>
      </c>
      <c r="D268" s="2" t="s">
        <v>287</v>
      </c>
      <c r="E268" s="2" t="s">
        <v>37</v>
      </c>
      <c r="F268" s="2" t="s">
        <v>288</v>
      </c>
      <c r="G268" s="2" t="s">
        <v>86</v>
      </c>
      <c r="H268" s="3">
        <v>44181</v>
      </c>
      <c r="I268" s="2" t="s">
        <v>100</v>
      </c>
      <c r="J268" s="2" t="s">
        <v>96</v>
      </c>
      <c r="K268" s="4">
        <v>2020</v>
      </c>
      <c r="L268" s="4">
        <v>2.2989999999999999</v>
      </c>
      <c r="M268" s="4" t="s">
        <v>41</v>
      </c>
      <c r="N268" s="4" t="s">
        <v>47</v>
      </c>
      <c r="O268" s="4" t="s">
        <v>522</v>
      </c>
      <c r="P268" s="4">
        <v>20.690999999999999</v>
      </c>
      <c r="Q268" s="12" t="s">
        <v>523</v>
      </c>
      <c r="R268" s="4" t="s">
        <v>524</v>
      </c>
      <c r="S268" s="4">
        <v>27.588000000000001</v>
      </c>
      <c r="T268" s="4">
        <v>986.27099999999996</v>
      </c>
    </row>
    <row r="269" spans="1:20" ht="15" thickBot="1" x14ac:dyDescent="0.35">
      <c r="A269" s="2" t="s">
        <v>49</v>
      </c>
      <c r="B269" s="2" t="s">
        <v>50</v>
      </c>
      <c r="C269" s="2" t="s">
        <v>35</v>
      </c>
      <c r="D269" s="2" t="s">
        <v>51</v>
      </c>
      <c r="E269" s="2" t="s">
        <v>37</v>
      </c>
      <c r="F269" s="2" t="s">
        <v>52</v>
      </c>
      <c r="G269" s="2" t="s">
        <v>86</v>
      </c>
      <c r="H269" s="3">
        <v>43940</v>
      </c>
      <c r="I269" s="2" t="s">
        <v>91</v>
      </c>
      <c r="J269" s="2" t="s">
        <v>92</v>
      </c>
      <c r="K269" s="4">
        <v>2020</v>
      </c>
      <c r="L269" s="4">
        <v>3.4220000000000002</v>
      </c>
      <c r="M269" s="4" t="s">
        <v>41</v>
      </c>
      <c r="N269" s="4" t="s">
        <v>54</v>
      </c>
      <c r="O269" s="4" t="s">
        <v>509</v>
      </c>
      <c r="P269" s="4">
        <v>35.930999999999997</v>
      </c>
      <c r="Q269" s="12" t="s">
        <v>510</v>
      </c>
      <c r="R269" s="4" t="s">
        <v>511</v>
      </c>
      <c r="S269" s="4">
        <v>41.064</v>
      </c>
      <c r="T269" s="4" t="s">
        <v>525</v>
      </c>
    </row>
    <row r="270" spans="1:20" ht="15" thickBot="1" x14ac:dyDescent="0.35">
      <c r="A270" s="2" t="s">
        <v>20</v>
      </c>
      <c r="B270" s="2" t="s">
        <v>34</v>
      </c>
      <c r="C270" s="2" t="s">
        <v>35</v>
      </c>
      <c r="D270" s="2" t="s">
        <v>526</v>
      </c>
      <c r="E270" s="2" t="s">
        <v>37</v>
      </c>
      <c r="F270" s="2" t="s">
        <v>301</v>
      </c>
      <c r="G270" s="2" t="s">
        <v>86</v>
      </c>
      <c r="H270" s="3">
        <v>44169</v>
      </c>
      <c r="I270" s="2" t="s">
        <v>100</v>
      </c>
      <c r="J270" s="2" t="s">
        <v>96</v>
      </c>
      <c r="K270" s="4">
        <v>2020</v>
      </c>
      <c r="L270" s="4">
        <v>3.2749999999999999</v>
      </c>
      <c r="M270" s="4" t="s">
        <v>41</v>
      </c>
      <c r="N270" s="4" t="s">
        <v>30</v>
      </c>
      <c r="O270" s="4">
        <v>615.70000000000005</v>
      </c>
      <c r="P270" s="4">
        <v>12.314</v>
      </c>
      <c r="Q270" s="12">
        <v>603.38599999999997</v>
      </c>
      <c r="R270" s="4" t="s">
        <v>527</v>
      </c>
      <c r="S270" s="4">
        <v>39.299999999999997</v>
      </c>
      <c r="T270" s="4">
        <v>564.08600000000001</v>
      </c>
    </row>
    <row r="271" spans="1:20" ht="29.4" thickBot="1" x14ac:dyDescent="0.35">
      <c r="A271" s="2" t="s">
        <v>58</v>
      </c>
      <c r="B271" s="2" t="s">
        <v>21</v>
      </c>
      <c r="C271" s="2" t="s">
        <v>35</v>
      </c>
      <c r="D271" s="2" t="s">
        <v>144</v>
      </c>
      <c r="E271" s="2" t="s">
        <v>37</v>
      </c>
      <c r="F271" s="2" t="s">
        <v>145</v>
      </c>
      <c r="G271" s="2" t="s">
        <v>86</v>
      </c>
      <c r="H271" s="3">
        <v>43867</v>
      </c>
      <c r="I271" s="2" t="s">
        <v>79</v>
      </c>
      <c r="J271" s="2" t="s">
        <v>40</v>
      </c>
      <c r="K271" s="4">
        <v>2020</v>
      </c>
      <c r="L271" s="4">
        <v>1.266</v>
      </c>
      <c r="M271" s="4" t="s">
        <v>41</v>
      </c>
      <c r="N271" s="4" t="s">
        <v>63</v>
      </c>
      <c r="O271" s="4">
        <v>22.788</v>
      </c>
      <c r="P271" s="4">
        <v>456</v>
      </c>
      <c r="Q271" s="12">
        <v>22.332000000000001</v>
      </c>
      <c r="R271" s="5">
        <v>15311</v>
      </c>
      <c r="S271" s="4">
        <v>15.192</v>
      </c>
      <c r="T271" s="4">
        <v>7.14</v>
      </c>
    </row>
    <row r="272" spans="1:20" ht="29.4" thickBot="1" x14ac:dyDescent="0.35">
      <c r="A272" s="2" t="s">
        <v>58</v>
      </c>
      <c r="B272" s="2" t="s">
        <v>68</v>
      </c>
      <c r="C272" s="2" t="s">
        <v>35</v>
      </c>
      <c r="D272" s="2" t="s">
        <v>290</v>
      </c>
      <c r="E272" s="2" t="s">
        <v>37</v>
      </c>
      <c r="F272" s="2" t="s">
        <v>291</v>
      </c>
      <c r="G272" s="2" t="s">
        <v>86</v>
      </c>
      <c r="H272" s="3">
        <v>44305</v>
      </c>
      <c r="I272" s="2" t="s">
        <v>91</v>
      </c>
      <c r="J272" s="2" t="s">
        <v>92</v>
      </c>
      <c r="K272" s="4">
        <v>2021</v>
      </c>
      <c r="L272" s="4">
        <v>1.3009999999999999</v>
      </c>
      <c r="M272" s="4" t="s">
        <v>41</v>
      </c>
      <c r="N272" s="4" t="s">
        <v>63</v>
      </c>
      <c r="O272" s="4">
        <v>23.417999999999999</v>
      </c>
      <c r="P272" s="4">
        <v>468</v>
      </c>
      <c r="Q272" s="12">
        <v>22.95</v>
      </c>
      <c r="R272" s="5">
        <v>27729</v>
      </c>
      <c r="S272" s="4">
        <v>15.612</v>
      </c>
      <c r="T272" s="4">
        <v>7.3380000000000001</v>
      </c>
    </row>
    <row r="273" spans="1:20" ht="15" thickBot="1" x14ac:dyDescent="0.35">
      <c r="A273" s="2" t="s">
        <v>49</v>
      </c>
      <c r="B273" s="2" t="s">
        <v>21</v>
      </c>
      <c r="C273" s="2" t="s">
        <v>69</v>
      </c>
      <c r="D273" s="2" t="s">
        <v>194</v>
      </c>
      <c r="E273" s="2" t="s">
        <v>71</v>
      </c>
      <c r="F273" s="2" t="s">
        <v>195</v>
      </c>
      <c r="G273" s="2" t="s">
        <v>86</v>
      </c>
      <c r="H273" s="3">
        <v>44436</v>
      </c>
      <c r="I273" s="2" t="s">
        <v>53</v>
      </c>
      <c r="J273" s="2" t="s">
        <v>28</v>
      </c>
      <c r="K273" s="4">
        <v>2021</v>
      </c>
      <c r="L273" s="4">
        <v>1.879</v>
      </c>
      <c r="M273" s="4" t="s">
        <v>73</v>
      </c>
      <c r="N273" s="4" t="s">
        <v>165</v>
      </c>
      <c r="O273" s="4">
        <v>56.37</v>
      </c>
      <c r="P273" s="4">
        <v>1.127</v>
      </c>
      <c r="Q273" s="12">
        <v>55.243000000000002</v>
      </c>
      <c r="R273" s="4" t="s">
        <v>515</v>
      </c>
      <c r="S273" s="4">
        <v>278.09199999999998</v>
      </c>
      <c r="T273" s="4">
        <v>-222.84899999999999</v>
      </c>
    </row>
    <row r="274" spans="1:20" ht="15" thickBot="1" x14ac:dyDescent="0.35">
      <c r="A274" s="2" t="s">
        <v>49</v>
      </c>
      <c r="B274" s="2" t="s">
        <v>50</v>
      </c>
      <c r="C274" s="2" t="s">
        <v>69</v>
      </c>
      <c r="D274" s="2" t="s">
        <v>153</v>
      </c>
      <c r="E274" s="2" t="s">
        <v>71</v>
      </c>
      <c r="F274" s="2" t="s">
        <v>154</v>
      </c>
      <c r="G274" s="2" t="s">
        <v>86</v>
      </c>
      <c r="H274" s="3">
        <v>44456</v>
      </c>
      <c r="I274" s="2" t="s">
        <v>27</v>
      </c>
      <c r="J274" s="2" t="s">
        <v>28</v>
      </c>
      <c r="K274" s="4">
        <v>2021</v>
      </c>
      <c r="L274" s="4">
        <v>3.452</v>
      </c>
      <c r="M274" s="4" t="s">
        <v>73</v>
      </c>
      <c r="N274" s="4" t="s">
        <v>54</v>
      </c>
      <c r="O274" s="4" t="s">
        <v>528</v>
      </c>
      <c r="P274" s="4">
        <v>36.246000000000002</v>
      </c>
      <c r="Q274" s="12" t="s">
        <v>529</v>
      </c>
      <c r="R274" s="4" t="s">
        <v>530</v>
      </c>
      <c r="S274" s="4">
        <v>510.89600000000002</v>
      </c>
      <c r="T274" s="4" t="s">
        <v>531</v>
      </c>
    </row>
    <row r="275" spans="1:20" ht="29.4" thickBot="1" x14ac:dyDescent="0.35">
      <c r="A275" s="2" t="s">
        <v>58</v>
      </c>
      <c r="B275" s="2" t="s">
        <v>44</v>
      </c>
      <c r="C275" s="2" t="s">
        <v>69</v>
      </c>
      <c r="D275" s="2" t="s">
        <v>532</v>
      </c>
      <c r="E275" s="2" t="s">
        <v>71</v>
      </c>
      <c r="F275" s="2" t="s">
        <v>310</v>
      </c>
      <c r="G275" s="2" t="s">
        <v>86</v>
      </c>
      <c r="H275" s="3">
        <v>44179</v>
      </c>
      <c r="I275" s="2" t="s">
        <v>100</v>
      </c>
      <c r="J275" s="2" t="s">
        <v>96</v>
      </c>
      <c r="K275" s="4">
        <v>2020</v>
      </c>
      <c r="L275" s="4">
        <v>1.266</v>
      </c>
      <c r="M275" s="4" t="s">
        <v>73</v>
      </c>
      <c r="N275" s="4" t="s">
        <v>63</v>
      </c>
      <c r="O275" s="4">
        <v>22.788</v>
      </c>
      <c r="P275" s="4">
        <v>456</v>
      </c>
      <c r="Q275" s="12">
        <v>22.332000000000001</v>
      </c>
      <c r="R275" s="5">
        <v>15311</v>
      </c>
      <c r="S275" s="4">
        <v>187.36799999999999</v>
      </c>
      <c r="T275" s="4">
        <v>-165.036</v>
      </c>
    </row>
    <row r="276" spans="1:20" ht="29.4" thickBot="1" x14ac:dyDescent="0.35">
      <c r="A276" s="2" t="s">
        <v>58</v>
      </c>
      <c r="B276" s="2" t="s">
        <v>50</v>
      </c>
      <c r="C276" s="2" t="s">
        <v>69</v>
      </c>
      <c r="D276" s="2" t="s">
        <v>533</v>
      </c>
      <c r="E276" s="2" t="s">
        <v>71</v>
      </c>
      <c r="F276" s="2" t="s">
        <v>313</v>
      </c>
      <c r="G276" s="2" t="s">
        <v>86</v>
      </c>
      <c r="H276" s="3">
        <v>44295</v>
      </c>
      <c r="I276" s="2" t="s">
        <v>91</v>
      </c>
      <c r="J276" s="2" t="s">
        <v>92</v>
      </c>
      <c r="K276" s="4">
        <v>2021</v>
      </c>
      <c r="L276" s="4">
        <v>1.3009999999999999</v>
      </c>
      <c r="M276" s="4" t="s">
        <v>73</v>
      </c>
      <c r="N276" s="4" t="s">
        <v>63</v>
      </c>
      <c r="O276" s="4">
        <v>23.417999999999999</v>
      </c>
      <c r="P276" s="4">
        <v>468</v>
      </c>
      <c r="Q276" s="12">
        <v>22.95</v>
      </c>
      <c r="R276" s="5">
        <v>27729</v>
      </c>
      <c r="S276" s="4">
        <v>192.548</v>
      </c>
      <c r="T276" s="4">
        <v>-169.59800000000001</v>
      </c>
    </row>
    <row r="277" spans="1:20" ht="15" thickBot="1" x14ac:dyDescent="0.35">
      <c r="A277" s="2" t="s">
        <v>20</v>
      </c>
      <c r="B277" s="2" t="s">
        <v>59</v>
      </c>
      <c r="C277" s="2" t="s">
        <v>75</v>
      </c>
      <c r="D277" s="2" t="s">
        <v>534</v>
      </c>
      <c r="E277" s="2" t="s">
        <v>77</v>
      </c>
      <c r="F277" s="2" t="s">
        <v>238</v>
      </c>
      <c r="G277" s="2" t="s">
        <v>86</v>
      </c>
      <c r="H277" s="3">
        <v>44536</v>
      </c>
      <c r="I277" s="2" t="s">
        <v>100</v>
      </c>
      <c r="J277" s="2" t="s">
        <v>96</v>
      </c>
      <c r="K277" s="4">
        <v>2021</v>
      </c>
      <c r="L277" s="4">
        <v>794</v>
      </c>
      <c r="M277" s="4" t="s">
        <v>80</v>
      </c>
      <c r="N277" s="4" t="s">
        <v>30</v>
      </c>
      <c r="O277" s="4">
        <v>149.27199999999999</v>
      </c>
      <c r="P277" s="4">
        <v>2.9849999999999999</v>
      </c>
      <c r="Q277" s="12">
        <v>146.28700000000001</v>
      </c>
      <c r="R277" s="4" t="s">
        <v>521</v>
      </c>
      <c r="S277" s="4">
        <v>244.55199999999999</v>
      </c>
      <c r="T277" s="4">
        <v>-98.265000000000001</v>
      </c>
    </row>
    <row r="278" spans="1:20" ht="15" thickBot="1" x14ac:dyDescent="0.35">
      <c r="A278" s="2" t="s">
        <v>49</v>
      </c>
      <c r="B278" s="2" t="s">
        <v>74</v>
      </c>
      <c r="C278" s="2" t="s">
        <v>75</v>
      </c>
      <c r="D278" s="2" t="s">
        <v>244</v>
      </c>
      <c r="E278" s="2" t="s">
        <v>77</v>
      </c>
      <c r="F278" s="2" t="s">
        <v>245</v>
      </c>
      <c r="G278" s="2" t="s">
        <v>86</v>
      </c>
      <c r="H278" s="3">
        <v>44516</v>
      </c>
      <c r="I278" s="2" t="s">
        <v>95</v>
      </c>
      <c r="J278" s="2" t="s">
        <v>96</v>
      </c>
      <c r="K278" s="4">
        <v>2021</v>
      </c>
      <c r="L278" s="4">
        <v>3.452</v>
      </c>
      <c r="M278" s="4" t="s">
        <v>80</v>
      </c>
      <c r="N278" s="4" t="s">
        <v>54</v>
      </c>
      <c r="O278" s="4" t="s">
        <v>528</v>
      </c>
      <c r="P278" s="4">
        <v>36.246000000000002</v>
      </c>
      <c r="Q278" s="12" t="s">
        <v>529</v>
      </c>
      <c r="R278" s="4" t="s">
        <v>530</v>
      </c>
      <c r="S278" s="4" t="s">
        <v>535</v>
      </c>
      <c r="T278" s="4">
        <v>712.83799999999997</v>
      </c>
    </row>
    <row r="279" spans="1:20" ht="15" thickBot="1" x14ac:dyDescent="0.35">
      <c r="A279" s="2" t="s">
        <v>20</v>
      </c>
      <c r="B279" s="2" t="s">
        <v>21</v>
      </c>
      <c r="C279" s="2" t="s">
        <v>75</v>
      </c>
      <c r="D279" s="2" t="s">
        <v>427</v>
      </c>
      <c r="E279" s="2" t="s">
        <v>77</v>
      </c>
      <c r="F279" s="2" t="s">
        <v>190</v>
      </c>
      <c r="G279" s="2" t="s">
        <v>86</v>
      </c>
      <c r="H279" s="3">
        <v>44543</v>
      </c>
      <c r="I279" s="2" t="s">
        <v>100</v>
      </c>
      <c r="J279" s="2" t="s">
        <v>96</v>
      </c>
      <c r="K279" s="4">
        <v>2021</v>
      </c>
      <c r="L279" s="4">
        <v>3.2749999999999999</v>
      </c>
      <c r="M279" s="4" t="s">
        <v>80</v>
      </c>
      <c r="N279" s="4" t="s">
        <v>30</v>
      </c>
      <c r="O279" s="4">
        <v>615.70000000000005</v>
      </c>
      <c r="P279" s="4">
        <v>12.314</v>
      </c>
      <c r="Q279" s="12">
        <v>603.38599999999997</v>
      </c>
      <c r="R279" s="4" t="s">
        <v>527</v>
      </c>
      <c r="S279" s="4" t="s">
        <v>536</v>
      </c>
      <c r="T279" s="4">
        <v>-405.31400000000002</v>
      </c>
    </row>
    <row r="280" spans="1:20" ht="29.4" thickBot="1" x14ac:dyDescent="0.35">
      <c r="A280" s="2" t="s">
        <v>43</v>
      </c>
      <c r="B280" s="2" t="s">
        <v>64</v>
      </c>
      <c r="C280" s="2" t="s">
        <v>120</v>
      </c>
      <c r="D280" s="2" t="s">
        <v>537</v>
      </c>
      <c r="E280" s="2" t="s">
        <v>122</v>
      </c>
      <c r="F280" s="2" t="s">
        <v>406</v>
      </c>
      <c r="G280" s="2" t="s">
        <v>86</v>
      </c>
      <c r="H280" s="3">
        <v>44253</v>
      </c>
      <c r="I280" s="2" t="s">
        <v>79</v>
      </c>
      <c r="J280" s="2" t="s">
        <v>40</v>
      </c>
      <c r="K280" s="4">
        <v>2021</v>
      </c>
      <c r="L280" s="4">
        <v>311</v>
      </c>
      <c r="M280" s="4" t="s">
        <v>124</v>
      </c>
      <c r="N280" s="4" t="s">
        <v>47</v>
      </c>
      <c r="O280" s="4">
        <v>139.94999999999999</v>
      </c>
      <c r="P280" s="4">
        <v>2.7989999999999999</v>
      </c>
      <c r="Q280" s="12">
        <v>137.15100000000001</v>
      </c>
      <c r="R280" s="4" t="s">
        <v>538</v>
      </c>
      <c r="S280" s="4">
        <v>99.52</v>
      </c>
      <c r="T280" s="4">
        <v>37.631</v>
      </c>
    </row>
    <row r="281" spans="1:20" ht="29.4" thickBot="1" x14ac:dyDescent="0.35">
      <c r="A281" s="2" t="s">
        <v>43</v>
      </c>
      <c r="B281" s="2" t="s">
        <v>68</v>
      </c>
      <c r="C281" s="2" t="s">
        <v>120</v>
      </c>
      <c r="D281" s="2" t="s">
        <v>539</v>
      </c>
      <c r="E281" s="2" t="s">
        <v>122</v>
      </c>
      <c r="F281" s="2" t="s">
        <v>412</v>
      </c>
      <c r="G281" s="2" t="s">
        <v>86</v>
      </c>
      <c r="H281" s="3">
        <v>44464</v>
      </c>
      <c r="I281" s="2" t="s">
        <v>27</v>
      </c>
      <c r="J281" s="2" t="s">
        <v>28</v>
      </c>
      <c r="K281" s="4">
        <v>2021</v>
      </c>
      <c r="L281" s="4">
        <v>1.321</v>
      </c>
      <c r="M281" s="4" t="s">
        <v>124</v>
      </c>
      <c r="N281" s="4" t="s">
        <v>47</v>
      </c>
      <c r="O281" s="4">
        <v>594.45000000000005</v>
      </c>
      <c r="P281" s="4">
        <v>11.888999999999999</v>
      </c>
      <c r="Q281" s="12">
        <v>582.56100000000004</v>
      </c>
      <c r="R281" s="4" t="s">
        <v>540</v>
      </c>
      <c r="S281" s="4">
        <v>422.72</v>
      </c>
      <c r="T281" s="4">
        <v>159.84100000000001</v>
      </c>
    </row>
    <row r="282" spans="1:20" ht="15" thickBot="1" x14ac:dyDescent="0.35">
      <c r="A282" s="2" t="s">
        <v>20</v>
      </c>
      <c r="B282" s="2" t="s">
        <v>21</v>
      </c>
      <c r="C282" s="2" t="s">
        <v>120</v>
      </c>
      <c r="D282" s="2" t="s">
        <v>297</v>
      </c>
      <c r="E282" s="2" t="s">
        <v>122</v>
      </c>
      <c r="F282" s="2" t="s">
        <v>298</v>
      </c>
      <c r="G282" s="2" t="s">
        <v>86</v>
      </c>
      <c r="H282" s="3">
        <v>44462</v>
      </c>
      <c r="I282" s="2" t="s">
        <v>27</v>
      </c>
      <c r="J282" s="2" t="s">
        <v>28</v>
      </c>
      <c r="K282" s="4">
        <v>2021</v>
      </c>
      <c r="L282" s="4">
        <v>2.7309999999999999</v>
      </c>
      <c r="M282" s="4" t="s">
        <v>124</v>
      </c>
      <c r="N282" s="4" t="s">
        <v>30</v>
      </c>
      <c r="O282" s="4">
        <v>513.428</v>
      </c>
      <c r="P282" s="4">
        <v>10.269</v>
      </c>
      <c r="Q282" s="12">
        <v>503.15899999999999</v>
      </c>
      <c r="R282" s="4" t="s">
        <v>541</v>
      </c>
      <c r="S282" s="4">
        <v>873.92</v>
      </c>
      <c r="T282" s="4">
        <v>-370.76100000000002</v>
      </c>
    </row>
    <row r="283" spans="1:20" ht="29.4" thickBot="1" x14ac:dyDescent="0.35">
      <c r="A283" s="2" t="s">
        <v>49</v>
      </c>
      <c r="B283" s="2" t="s">
        <v>74</v>
      </c>
      <c r="C283" s="2" t="s">
        <v>120</v>
      </c>
      <c r="D283" s="2" t="s">
        <v>270</v>
      </c>
      <c r="E283" s="2" t="s">
        <v>122</v>
      </c>
      <c r="F283" s="2" t="s">
        <v>271</v>
      </c>
      <c r="G283" s="2" t="s">
        <v>86</v>
      </c>
      <c r="H283" s="3">
        <v>43864</v>
      </c>
      <c r="I283" s="2" t="s">
        <v>79</v>
      </c>
      <c r="J283" s="2" t="s">
        <v>40</v>
      </c>
      <c r="K283" s="4">
        <v>2020</v>
      </c>
      <c r="L283" s="4">
        <v>1.4830000000000001</v>
      </c>
      <c r="M283" s="4" t="s">
        <v>124</v>
      </c>
      <c r="N283" s="4" t="s">
        <v>165</v>
      </c>
      <c r="O283" s="4">
        <v>44.49</v>
      </c>
      <c r="P283" s="4">
        <v>890</v>
      </c>
      <c r="Q283" s="12">
        <v>43.6</v>
      </c>
      <c r="R283" s="4" t="s">
        <v>542</v>
      </c>
      <c r="S283" s="4">
        <v>474.56</v>
      </c>
      <c r="T283" s="4">
        <v>-430.96</v>
      </c>
    </row>
    <row r="284" spans="1:20" ht="15" thickBot="1" x14ac:dyDescent="0.35">
      <c r="A284" s="2" t="s">
        <v>49</v>
      </c>
      <c r="B284" s="2" t="s">
        <v>21</v>
      </c>
      <c r="C284" s="2" t="s">
        <v>120</v>
      </c>
      <c r="D284" s="2" t="s">
        <v>272</v>
      </c>
      <c r="E284" s="2" t="s">
        <v>122</v>
      </c>
      <c r="F284" s="2" t="s">
        <v>273</v>
      </c>
      <c r="G284" s="2" t="s">
        <v>86</v>
      </c>
      <c r="H284" s="3">
        <v>44519</v>
      </c>
      <c r="I284" s="2" t="s">
        <v>95</v>
      </c>
      <c r="J284" s="2" t="s">
        <v>96</v>
      </c>
      <c r="K284" s="4">
        <v>2021</v>
      </c>
      <c r="L284" s="4">
        <v>1.129</v>
      </c>
      <c r="M284" s="4" t="s">
        <v>124</v>
      </c>
      <c r="N284" s="4" t="s">
        <v>165</v>
      </c>
      <c r="O284" s="4">
        <v>33.869999999999997</v>
      </c>
      <c r="P284" s="4">
        <v>677</v>
      </c>
      <c r="Q284" s="12">
        <v>33.192999999999998</v>
      </c>
      <c r="R284" s="4" t="s">
        <v>543</v>
      </c>
      <c r="S284" s="4">
        <v>361.28</v>
      </c>
      <c r="T284" s="4">
        <v>-328.08699999999999</v>
      </c>
    </row>
    <row r="285" spans="1:20" ht="29.4" thickBot="1" x14ac:dyDescent="0.35">
      <c r="A285" s="2" t="s">
        <v>43</v>
      </c>
      <c r="B285" s="2" t="s">
        <v>74</v>
      </c>
      <c r="C285" s="2" t="s">
        <v>120</v>
      </c>
      <c r="D285" s="2" t="s">
        <v>544</v>
      </c>
      <c r="E285" s="2" t="s">
        <v>122</v>
      </c>
      <c r="F285" s="2" t="s">
        <v>414</v>
      </c>
      <c r="G285" s="2" t="s">
        <v>86</v>
      </c>
      <c r="H285" s="3">
        <v>44346</v>
      </c>
      <c r="I285" s="2" t="s">
        <v>142</v>
      </c>
      <c r="J285" s="2" t="s">
        <v>92</v>
      </c>
      <c r="K285" s="4">
        <v>2021</v>
      </c>
      <c r="L285" s="4">
        <v>2.2989999999999999</v>
      </c>
      <c r="M285" s="4" t="s">
        <v>124</v>
      </c>
      <c r="N285" s="4" t="s">
        <v>47</v>
      </c>
      <c r="O285" s="4" t="s">
        <v>522</v>
      </c>
      <c r="P285" s="4">
        <v>20.690999999999999</v>
      </c>
      <c r="Q285" s="12" t="s">
        <v>523</v>
      </c>
      <c r="R285" s="4" t="s">
        <v>524</v>
      </c>
      <c r="S285" s="4">
        <v>735.68</v>
      </c>
      <c r="T285" s="4">
        <v>278.17899999999997</v>
      </c>
    </row>
    <row r="286" spans="1:20" ht="15" thickBot="1" x14ac:dyDescent="0.35">
      <c r="A286" s="2" t="s">
        <v>20</v>
      </c>
      <c r="B286" s="2" t="s">
        <v>59</v>
      </c>
      <c r="C286" s="2" t="s">
        <v>82</v>
      </c>
      <c r="D286" s="2" t="s">
        <v>337</v>
      </c>
      <c r="E286" s="2" t="s">
        <v>84</v>
      </c>
      <c r="F286" s="2" t="s">
        <v>338</v>
      </c>
      <c r="G286" s="2" t="s">
        <v>86</v>
      </c>
      <c r="H286" s="3">
        <v>43949</v>
      </c>
      <c r="I286" s="2" t="s">
        <v>91</v>
      </c>
      <c r="J286" s="2" t="s">
        <v>92</v>
      </c>
      <c r="K286" s="4">
        <v>2020</v>
      </c>
      <c r="L286" s="4">
        <v>5.0919999999999996</v>
      </c>
      <c r="M286" s="4" t="s">
        <v>87</v>
      </c>
      <c r="N286" s="4" t="s">
        <v>30</v>
      </c>
      <c r="O286" s="4">
        <v>957.29600000000005</v>
      </c>
      <c r="P286" s="4">
        <v>28.719000000000001</v>
      </c>
      <c r="Q286" s="12">
        <v>928.577</v>
      </c>
      <c r="R286" s="4" t="s">
        <v>545</v>
      </c>
      <c r="S286" s="4">
        <v>20.367999999999999</v>
      </c>
      <c r="T286" s="4">
        <v>908.20899999999995</v>
      </c>
    </row>
    <row r="287" spans="1:20" ht="15" thickBot="1" x14ac:dyDescent="0.35">
      <c r="A287" s="2" t="s">
        <v>49</v>
      </c>
      <c r="B287" s="2" t="s">
        <v>74</v>
      </c>
      <c r="C287" s="2" t="s">
        <v>82</v>
      </c>
      <c r="D287" s="2" t="s">
        <v>219</v>
      </c>
      <c r="E287" s="2" t="s">
        <v>84</v>
      </c>
      <c r="F287" s="2" t="s">
        <v>220</v>
      </c>
      <c r="G287" s="2" t="s">
        <v>86</v>
      </c>
      <c r="H287" s="3">
        <v>44295</v>
      </c>
      <c r="I287" s="2" t="s">
        <v>91</v>
      </c>
      <c r="J287" s="2" t="s">
        <v>92</v>
      </c>
      <c r="K287" s="4">
        <v>2021</v>
      </c>
      <c r="L287" s="4">
        <v>3.0960000000000001</v>
      </c>
      <c r="M287" s="4" t="s">
        <v>87</v>
      </c>
      <c r="N287" s="4" t="s">
        <v>165</v>
      </c>
      <c r="O287" s="4">
        <v>92.88</v>
      </c>
      <c r="P287" s="4">
        <v>2.786</v>
      </c>
      <c r="Q287" s="12">
        <v>90.093999999999994</v>
      </c>
      <c r="R287" s="4" t="s">
        <v>546</v>
      </c>
      <c r="S287" s="4">
        <v>12.384</v>
      </c>
      <c r="T287" s="4">
        <v>77.709999999999994</v>
      </c>
    </row>
    <row r="288" spans="1:20" ht="29.4" thickBot="1" x14ac:dyDescent="0.35">
      <c r="A288" s="2" t="s">
        <v>43</v>
      </c>
      <c r="B288" s="2" t="s">
        <v>50</v>
      </c>
      <c r="C288" s="2" t="s">
        <v>82</v>
      </c>
      <c r="D288" s="2" t="s">
        <v>128</v>
      </c>
      <c r="E288" s="2" t="s">
        <v>84</v>
      </c>
      <c r="F288" s="2" t="s">
        <v>129</v>
      </c>
      <c r="G288" s="2" t="s">
        <v>86</v>
      </c>
      <c r="H288" s="3">
        <v>44492</v>
      </c>
      <c r="I288" s="2" t="s">
        <v>115</v>
      </c>
      <c r="J288" s="2" t="s">
        <v>96</v>
      </c>
      <c r="K288" s="4">
        <v>2021</v>
      </c>
      <c r="L288" s="4">
        <v>827</v>
      </c>
      <c r="M288" s="4" t="s">
        <v>87</v>
      </c>
      <c r="N288" s="4" t="s">
        <v>47</v>
      </c>
      <c r="O288" s="4">
        <v>372.15</v>
      </c>
      <c r="P288" s="4">
        <v>11.164999999999999</v>
      </c>
      <c r="Q288" s="12">
        <v>360.98599999999999</v>
      </c>
      <c r="R288" s="4" t="s">
        <v>547</v>
      </c>
      <c r="S288" s="4">
        <v>3.3079999999999998</v>
      </c>
      <c r="T288" s="4">
        <v>357.678</v>
      </c>
    </row>
    <row r="289" spans="1:20" ht="29.4" thickBot="1" x14ac:dyDescent="0.35">
      <c r="A289" s="2" t="s">
        <v>58</v>
      </c>
      <c r="B289" s="2" t="s">
        <v>50</v>
      </c>
      <c r="C289" s="2" t="s">
        <v>82</v>
      </c>
      <c r="D289" s="2" t="s">
        <v>334</v>
      </c>
      <c r="E289" s="2" t="s">
        <v>84</v>
      </c>
      <c r="F289" s="2" t="s">
        <v>335</v>
      </c>
      <c r="G289" s="2" t="s">
        <v>86</v>
      </c>
      <c r="H289" s="3">
        <v>44309</v>
      </c>
      <c r="I289" s="2" t="s">
        <v>91</v>
      </c>
      <c r="J289" s="2" t="s">
        <v>92</v>
      </c>
      <c r="K289" s="4">
        <v>2021</v>
      </c>
      <c r="L289" s="4">
        <v>2.3359999999999999</v>
      </c>
      <c r="M289" s="4" t="s">
        <v>87</v>
      </c>
      <c r="N289" s="4" t="s">
        <v>63</v>
      </c>
      <c r="O289" s="4">
        <v>42.048000000000002</v>
      </c>
      <c r="P289" s="4">
        <v>1.2609999999999999</v>
      </c>
      <c r="Q289" s="12">
        <v>40.786999999999999</v>
      </c>
      <c r="R289" s="4" t="s">
        <v>548</v>
      </c>
      <c r="S289" s="4">
        <v>9.3439999999999994</v>
      </c>
      <c r="T289" s="4">
        <v>31.443000000000001</v>
      </c>
    </row>
    <row r="290" spans="1:20" ht="15" thickBot="1" x14ac:dyDescent="0.35">
      <c r="A290" s="2" t="s">
        <v>49</v>
      </c>
      <c r="B290" s="2" t="s">
        <v>59</v>
      </c>
      <c r="C290" s="2" t="s">
        <v>22</v>
      </c>
      <c r="D290" s="2" t="s">
        <v>181</v>
      </c>
      <c r="E290" s="2" t="s">
        <v>24</v>
      </c>
      <c r="F290" s="2" t="s">
        <v>182</v>
      </c>
      <c r="G290" s="2" t="s">
        <v>86</v>
      </c>
      <c r="H290" s="3">
        <v>44342</v>
      </c>
      <c r="I290" s="2" t="s">
        <v>142</v>
      </c>
      <c r="J290" s="2" t="s">
        <v>92</v>
      </c>
      <c r="K290" s="4">
        <v>2021</v>
      </c>
      <c r="L290" s="4">
        <v>2.35</v>
      </c>
      <c r="M290" s="4" t="s">
        <v>29</v>
      </c>
      <c r="N290" s="4" t="s">
        <v>116</v>
      </c>
      <c r="O290" s="4">
        <v>25.85</v>
      </c>
      <c r="P290" s="4">
        <v>776</v>
      </c>
      <c r="Q290" s="12">
        <v>25.074999999999999</v>
      </c>
      <c r="R290" s="4" t="s">
        <v>549</v>
      </c>
      <c r="S290" s="4">
        <v>14.1</v>
      </c>
      <c r="T290" s="4">
        <v>10.975</v>
      </c>
    </row>
    <row r="291" spans="1:20" ht="29.4" thickBot="1" x14ac:dyDescent="0.35">
      <c r="A291" s="2" t="s">
        <v>58</v>
      </c>
      <c r="B291" s="2" t="s">
        <v>21</v>
      </c>
      <c r="C291" s="2" t="s">
        <v>22</v>
      </c>
      <c r="D291" s="2" t="s">
        <v>550</v>
      </c>
      <c r="E291" s="2" t="s">
        <v>24</v>
      </c>
      <c r="F291" s="2" t="s">
        <v>190</v>
      </c>
      <c r="G291" s="2" t="s">
        <v>86</v>
      </c>
      <c r="H291" s="3">
        <v>44268</v>
      </c>
      <c r="I291" s="2" t="s">
        <v>112</v>
      </c>
      <c r="J291" s="2" t="s">
        <v>40</v>
      </c>
      <c r="K291" s="4">
        <v>2021</v>
      </c>
      <c r="L291" s="4">
        <v>2.2810000000000001</v>
      </c>
      <c r="M291" s="4" t="s">
        <v>29</v>
      </c>
      <c r="N291" s="4" t="s">
        <v>63</v>
      </c>
      <c r="O291" s="4">
        <v>41.058</v>
      </c>
      <c r="P291" s="4">
        <v>1.232</v>
      </c>
      <c r="Q291" s="12">
        <v>39.826000000000001</v>
      </c>
      <c r="R291" s="4" t="s">
        <v>551</v>
      </c>
      <c r="S291" s="4">
        <v>13.686</v>
      </c>
      <c r="T291" s="4">
        <v>26.14</v>
      </c>
    </row>
    <row r="292" spans="1:20" ht="15" thickBot="1" x14ac:dyDescent="0.35">
      <c r="A292" s="2" t="s">
        <v>49</v>
      </c>
      <c r="B292" s="2" t="s">
        <v>44</v>
      </c>
      <c r="C292" s="2" t="s">
        <v>22</v>
      </c>
      <c r="D292" s="2" t="s">
        <v>253</v>
      </c>
      <c r="E292" s="2" t="s">
        <v>24</v>
      </c>
      <c r="F292" s="2" t="s">
        <v>254</v>
      </c>
      <c r="G292" s="2" t="s">
        <v>86</v>
      </c>
      <c r="H292" s="3">
        <v>44035</v>
      </c>
      <c r="I292" s="2" t="s">
        <v>62</v>
      </c>
      <c r="J292" s="2" t="s">
        <v>28</v>
      </c>
      <c r="K292" s="4">
        <v>2020</v>
      </c>
      <c r="L292" s="4">
        <v>653</v>
      </c>
      <c r="M292" s="4" t="s">
        <v>29</v>
      </c>
      <c r="N292" s="4" t="s">
        <v>116</v>
      </c>
      <c r="O292" s="4">
        <v>7.1829999999999998</v>
      </c>
      <c r="P292" s="4">
        <v>215</v>
      </c>
      <c r="Q292" s="12">
        <v>6.968</v>
      </c>
      <c r="R292" s="5">
        <v>25263</v>
      </c>
      <c r="S292" s="4">
        <v>3.9180000000000001</v>
      </c>
      <c r="T292" s="4">
        <v>3.05</v>
      </c>
    </row>
    <row r="293" spans="1:20" ht="15" thickBot="1" x14ac:dyDescent="0.35">
      <c r="A293" s="2" t="s">
        <v>20</v>
      </c>
      <c r="B293" s="2" t="s">
        <v>68</v>
      </c>
      <c r="C293" s="2" t="s">
        <v>22</v>
      </c>
      <c r="D293" s="2" t="s">
        <v>320</v>
      </c>
      <c r="E293" s="2" t="s">
        <v>24</v>
      </c>
      <c r="F293" s="2" t="s">
        <v>243</v>
      </c>
      <c r="G293" s="2" t="s">
        <v>86</v>
      </c>
      <c r="H293" s="3">
        <v>44101</v>
      </c>
      <c r="I293" s="2" t="s">
        <v>27</v>
      </c>
      <c r="J293" s="2" t="s">
        <v>28</v>
      </c>
      <c r="K293" s="4">
        <v>2020</v>
      </c>
      <c r="L293" s="4">
        <v>1.544</v>
      </c>
      <c r="M293" s="4" t="s">
        <v>29</v>
      </c>
      <c r="N293" s="4" t="s">
        <v>30</v>
      </c>
      <c r="O293" s="4">
        <v>290.27199999999999</v>
      </c>
      <c r="P293" s="4">
        <v>8.7080000000000002</v>
      </c>
      <c r="Q293" s="12">
        <v>281.56400000000002</v>
      </c>
      <c r="R293" s="4" t="s">
        <v>552</v>
      </c>
      <c r="S293" s="4">
        <v>9.2639999999999993</v>
      </c>
      <c r="T293" s="4">
        <v>272.3</v>
      </c>
    </row>
    <row r="294" spans="1:20" ht="15" thickBot="1" x14ac:dyDescent="0.35">
      <c r="A294" s="2" t="s">
        <v>20</v>
      </c>
      <c r="B294" s="2" t="s">
        <v>50</v>
      </c>
      <c r="C294" s="2" t="s">
        <v>22</v>
      </c>
      <c r="D294" s="2" t="s">
        <v>281</v>
      </c>
      <c r="E294" s="2" t="s">
        <v>24</v>
      </c>
      <c r="F294" s="2" t="s">
        <v>282</v>
      </c>
      <c r="G294" s="2" t="s">
        <v>86</v>
      </c>
      <c r="H294" s="3">
        <v>43966</v>
      </c>
      <c r="I294" s="2" t="s">
        <v>142</v>
      </c>
      <c r="J294" s="2" t="s">
        <v>92</v>
      </c>
      <c r="K294" s="4">
        <v>2020</v>
      </c>
      <c r="L294" s="4">
        <v>2.0470000000000002</v>
      </c>
      <c r="M294" s="4" t="s">
        <v>29</v>
      </c>
      <c r="N294" s="4" t="s">
        <v>30</v>
      </c>
      <c r="O294" s="4">
        <v>384.83600000000001</v>
      </c>
      <c r="P294" s="4">
        <v>11.545</v>
      </c>
      <c r="Q294" s="12">
        <v>373.291</v>
      </c>
      <c r="R294" s="4" t="s">
        <v>553</v>
      </c>
      <c r="S294" s="4">
        <v>12.282</v>
      </c>
      <c r="T294" s="4">
        <v>361.00900000000001</v>
      </c>
    </row>
    <row r="295" spans="1:20" ht="29.4" thickBot="1" x14ac:dyDescent="0.35">
      <c r="A295" s="2" t="s">
        <v>43</v>
      </c>
      <c r="B295" s="2" t="s">
        <v>21</v>
      </c>
      <c r="C295" s="2" t="s">
        <v>35</v>
      </c>
      <c r="D295" s="2" t="s">
        <v>518</v>
      </c>
      <c r="E295" s="2" t="s">
        <v>37</v>
      </c>
      <c r="F295" s="2" t="s">
        <v>298</v>
      </c>
      <c r="G295" s="2" t="s">
        <v>86</v>
      </c>
      <c r="H295" s="3">
        <v>44341</v>
      </c>
      <c r="I295" s="2" t="s">
        <v>142</v>
      </c>
      <c r="J295" s="2" t="s">
        <v>92</v>
      </c>
      <c r="K295" s="4">
        <v>2021</v>
      </c>
      <c r="L295" s="4">
        <v>2.9209999999999998</v>
      </c>
      <c r="M295" s="4" t="s">
        <v>41</v>
      </c>
      <c r="N295" s="4" t="s">
        <v>47</v>
      </c>
      <c r="O295" s="4" t="s">
        <v>554</v>
      </c>
      <c r="P295" s="4">
        <v>39.433999999999997</v>
      </c>
      <c r="Q295" s="12" t="s">
        <v>555</v>
      </c>
      <c r="R295" s="4" t="s">
        <v>556</v>
      </c>
      <c r="S295" s="4">
        <v>35.052</v>
      </c>
      <c r="T295" s="4" t="s">
        <v>557</v>
      </c>
    </row>
    <row r="296" spans="1:20" ht="15" thickBot="1" x14ac:dyDescent="0.35">
      <c r="A296" s="2" t="s">
        <v>20</v>
      </c>
      <c r="B296" s="2" t="s">
        <v>34</v>
      </c>
      <c r="C296" s="2" t="s">
        <v>35</v>
      </c>
      <c r="D296" s="2" t="s">
        <v>526</v>
      </c>
      <c r="E296" s="2" t="s">
        <v>37</v>
      </c>
      <c r="F296" s="2" t="s">
        <v>301</v>
      </c>
      <c r="G296" s="2" t="s">
        <v>86</v>
      </c>
      <c r="H296" s="3">
        <v>44472</v>
      </c>
      <c r="I296" s="2" t="s">
        <v>115</v>
      </c>
      <c r="J296" s="2" t="s">
        <v>96</v>
      </c>
      <c r="K296" s="4">
        <v>2021</v>
      </c>
      <c r="L296" s="4">
        <v>2.129</v>
      </c>
      <c r="M296" s="4" t="s">
        <v>41</v>
      </c>
      <c r="N296" s="4" t="s">
        <v>30</v>
      </c>
      <c r="O296" s="4">
        <v>400.25200000000001</v>
      </c>
      <c r="P296" s="4">
        <v>12.007999999999999</v>
      </c>
      <c r="Q296" s="12">
        <v>388.24400000000003</v>
      </c>
      <c r="R296" s="4" t="s">
        <v>558</v>
      </c>
      <c r="S296" s="4">
        <v>25.547999999999998</v>
      </c>
      <c r="T296" s="4">
        <v>362.69600000000003</v>
      </c>
    </row>
    <row r="297" spans="1:20" ht="29.4" thickBot="1" x14ac:dyDescent="0.35">
      <c r="A297" s="2" t="s">
        <v>58</v>
      </c>
      <c r="B297" s="2" t="s">
        <v>21</v>
      </c>
      <c r="C297" s="2" t="s">
        <v>35</v>
      </c>
      <c r="D297" s="2" t="s">
        <v>144</v>
      </c>
      <c r="E297" s="2" t="s">
        <v>37</v>
      </c>
      <c r="F297" s="2" t="s">
        <v>145</v>
      </c>
      <c r="G297" s="2" t="s">
        <v>86</v>
      </c>
      <c r="H297" s="3">
        <v>43844</v>
      </c>
      <c r="I297" s="2" t="s">
        <v>39</v>
      </c>
      <c r="J297" s="2" t="s">
        <v>40</v>
      </c>
      <c r="K297" s="4">
        <v>2020</v>
      </c>
      <c r="L297" s="4">
        <v>2.2810000000000001</v>
      </c>
      <c r="M297" s="4" t="s">
        <v>41</v>
      </c>
      <c r="N297" s="4" t="s">
        <v>63</v>
      </c>
      <c r="O297" s="4">
        <v>41.058</v>
      </c>
      <c r="P297" s="4">
        <v>1.232</v>
      </c>
      <c r="Q297" s="12">
        <v>39.826000000000001</v>
      </c>
      <c r="R297" s="4" t="s">
        <v>551</v>
      </c>
      <c r="S297" s="4">
        <v>27.372</v>
      </c>
      <c r="T297" s="4">
        <v>12.454000000000001</v>
      </c>
    </row>
    <row r="298" spans="1:20" ht="29.4" thickBot="1" x14ac:dyDescent="0.35">
      <c r="A298" s="2" t="s">
        <v>43</v>
      </c>
      <c r="B298" s="2" t="s">
        <v>59</v>
      </c>
      <c r="C298" s="2" t="s">
        <v>35</v>
      </c>
      <c r="D298" s="2" t="s">
        <v>285</v>
      </c>
      <c r="E298" s="2" t="s">
        <v>37</v>
      </c>
      <c r="F298" s="2" t="s">
        <v>249</v>
      </c>
      <c r="G298" s="2" t="s">
        <v>86</v>
      </c>
      <c r="H298" s="3">
        <v>44179</v>
      </c>
      <c r="I298" s="2" t="s">
        <v>100</v>
      </c>
      <c r="J298" s="2" t="s">
        <v>96</v>
      </c>
      <c r="K298" s="4">
        <v>2020</v>
      </c>
      <c r="L298" s="4">
        <v>827</v>
      </c>
      <c r="M298" s="4" t="s">
        <v>41</v>
      </c>
      <c r="N298" s="4" t="s">
        <v>47</v>
      </c>
      <c r="O298" s="4">
        <v>372.15</v>
      </c>
      <c r="P298" s="4">
        <v>11.164999999999999</v>
      </c>
      <c r="Q298" s="12">
        <v>360.98599999999999</v>
      </c>
      <c r="R298" s="4" t="s">
        <v>547</v>
      </c>
      <c r="S298" s="4">
        <v>9.9239999999999995</v>
      </c>
      <c r="T298" s="4">
        <v>351.06200000000001</v>
      </c>
    </row>
    <row r="299" spans="1:20" ht="15" thickBot="1" x14ac:dyDescent="0.35">
      <c r="A299" s="2" t="s">
        <v>20</v>
      </c>
      <c r="B299" s="2" t="s">
        <v>68</v>
      </c>
      <c r="C299" s="2" t="s">
        <v>35</v>
      </c>
      <c r="D299" s="2" t="s">
        <v>137</v>
      </c>
      <c r="E299" s="2" t="s">
        <v>37</v>
      </c>
      <c r="F299" s="2" t="s">
        <v>138</v>
      </c>
      <c r="G299" s="2" t="s">
        <v>86</v>
      </c>
      <c r="H299" s="3">
        <v>44361</v>
      </c>
      <c r="I299" s="2" t="s">
        <v>205</v>
      </c>
      <c r="J299" s="2" t="s">
        <v>92</v>
      </c>
      <c r="K299" s="4">
        <v>2021</v>
      </c>
      <c r="L299" s="4">
        <v>1.8839999999999999</v>
      </c>
      <c r="M299" s="4" t="s">
        <v>41</v>
      </c>
      <c r="N299" s="4" t="s">
        <v>30</v>
      </c>
      <c r="O299" s="4">
        <v>354.19200000000001</v>
      </c>
      <c r="P299" s="4">
        <v>10.625999999999999</v>
      </c>
      <c r="Q299" s="12">
        <v>343.56599999999997</v>
      </c>
      <c r="R299" s="4" t="s">
        <v>559</v>
      </c>
      <c r="S299" s="4">
        <v>22.608000000000001</v>
      </c>
      <c r="T299" s="4">
        <v>320.95800000000003</v>
      </c>
    </row>
    <row r="300" spans="1:20" ht="29.4" thickBot="1" x14ac:dyDescent="0.35">
      <c r="A300" s="2" t="s">
        <v>58</v>
      </c>
      <c r="B300" s="2" t="s">
        <v>59</v>
      </c>
      <c r="C300" s="2" t="s">
        <v>35</v>
      </c>
      <c r="D300" s="2" t="s">
        <v>60</v>
      </c>
      <c r="E300" s="2" t="s">
        <v>37</v>
      </c>
      <c r="F300" s="2" t="s">
        <v>61</v>
      </c>
      <c r="G300" s="2" t="s">
        <v>86</v>
      </c>
      <c r="H300" s="3">
        <v>43988</v>
      </c>
      <c r="I300" s="2" t="s">
        <v>205</v>
      </c>
      <c r="J300" s="2" t="s">
        <v>92</v>
      </c>
      <c r="K300" s="4">
        <v>2020</v>
      </c>
      <c r="L300" s="4">
        <v>1.643</v>
      </c>
      <c r="M300" s="4" t="s">
        <v>41</v>
      </c>
      <c r="N300" s="4" t="s">
        <v>63</v>
      </c>
      <c r="O300" s="4">
        <v>29.574000000000002</v>
      </c>
      <c r="P300" s="4">
        <v>887</v>
      </c>
      <c r="Q300" s="12">
        <v>28.687000000000001</v>
      </c>
      <c r="R300" s="4" t="s">
        <v>560</v>
      </c>
      <c r="S300" s="4">
        <v>19.716000000000001</v>
      </c>
      <c r="T300" s="4">
        <v>8.9710000000000001</v>
      </c>
    </row>
    <row r="301" spans="1:20" ht="15" thickBot="1" x14ac:dyDescent="0.35">
      <c r="A301" s="2" t="s">
        <v>20</v>
      </c>
      <c r="B301" s="2" t="s">
        <v>34</v>
      </c>
      <c r="C301" s="2" t="s">
        <v>35</v>
      </c>
      <c r="D301" s="2" t="s">
        <v>526</v>
      </c>
      <c r="E301" s="2" t="s">
        <v>37</v>
      </c>
      <c r="F301" s="2" t="s">
        <v>301</v>
      </c>
      <c r="G301" s="2" t="s">
        <v>86</v>
      </c>
      <c r="H301" s="3">
        <v>43837</v>
      </c>
      <c r="I301" s="2" t="s">
        <v>39</v>
      </c>
      <c r="J301" s="2" t="s">
        <v>40</v>
      </c>
      <c r="K301" s="4">
        <v>2020</v>
      </c>
      <c r="L301" s="4">
        <v>2.411</v>
      </c>
      <c r="M301" s="4" t="s">
        <v>41</v>
      </c>
      <c r="N301" s="4" t="s">
        <v>30</v>
      </c>
      <c r="O301" s="4">
        <v>453.26799999999997</v>
      </c>
      <c r="P301" s="4">
        <v>13.598000000000001</v>
      </c>
      <c r="Q301" s="12">
        <v>439.67</v>
      </c>
      <c r="R301" s="4" t="s">
        <v>561</v>
      </c>
      <c r="S301" s="4">
        <v>28.931999999999999</v>
      </c>
      <c r="T301" s="4">
        <v>410.738</v>
      </c>
    </row>
    <row r="302" spans="1:20" ht="15" thickBot="1" x14ac:dyDescent="0.35">
      <c r="A302" s="2" t="s">
        <v>20</v>
      </c>
      <c r="B302" s="2" t="s">
        <v>44</v>
      </c>
      <c r="C302" s="2" t="s">
        <v>35</v>
      </c>
      <c r="D302" s="2" t="s">
        <v>229</v>
      </c>
      <c r="E302" s="2" t="s">
        <v>37</v>
      </c>
      <c r="F302" s="2" t="s">
        <v>230</v>
      </c>
      <c r="G302" s="2" t="s">
        <v>86</v>
      </c>
      <c r="H302" s="3">
        <v>43982</v>
      </c>
      <c r="I302" s="2" t="s">
        <v>142</v>
      </c>
      <c r="J302" s="2" t="s">
        <v>92</v>
      </c>
      <c r="K302" s="4">
        <v>2020</v>
      </c>
      <c r="L302" s="4">
        <v>1.544</v>
      </c>
      <c r="M302" s="4" t="s">
        <v>41</v>
      </c>
      <c r="N302" s="4" t="s">
        <v>30</v>
      </c>
      <c r="O302" s="4">
        <v>290.27199999999999</v>
      </c>
      <c r="P302" s="4">
        <v>8.7080000000000002</v>
      </c>
      <c r="Q302" s="12">
        <v>281.56400000000002</v>
      </c>
      <c r="R302" s="4" t="s">
        <v>552</v>
      </c>
      <c r="S302" s="4">
        <v>18.527999999999999</v>
      </c>
      <c r="T302" s="4">
        <v>263.036</v>
      </c>
    </row>
    <row r="303" spans="1:20" ht="15" thickBot="1" x14ac:dyDescent="0.35">
      <c r="A303" s="2" t="s">
        <v>20</v>
      </c>
      <c r="B303" s="2" t="s">
        <v>68</v>
      </c>
      <c r="C303" s="2" t="s">
        <v>35</v>
      </c>
      <c r="D303" s="2" t="s">
        <v>137</v>
      </c>
      <c r="E303" s="2" t="s">
        <v>37</v>
      </c>
      <c r="F303" s="2" t="s">
        <v>138</v>
      </c>
      <c r="G303" s="2" t="s">
        <v>86</v>
      </c>
      <c r="H303" s="3">
        <v>44394</v>
      </c>
      <c r="I303" s="2" t="s">
        <v>62</v>
      </c>
      <c r="J303" s="2" t="s">
        <v>28</v>
      </c>
      <c r="K303" s="4">
        <v>2021</v>
      </c>
      <c r="L303" s="4">
        <v>2.0470000000000002</v>
      </c>
      <c r="M303" s="4" t="s">
        <v>41</v>
      </c>
      <c r="N303" s="4" t="s">
        <v>30</v>
      </c>
      <c r="O303" s="4">
        <v>384.83600000000001</v>
      </c>
      <c r="P303" s="4">
        <v>11.545</v>
      </c>
      <c r="Q303" s="12">
        <v>373.291</v>
      </c>
      <c r="R303" s="4" t="s">
        <v>553</v>
      </c>
      <c r="S303" s="4">
        <v>24.564</v>
      </c>
      <c r="T303" s="4">
        <v>348.72699999999998</v>
      </c>
    </row>
    <row r="304" spans="1:20" ht="15" thickBot="1" x14ac:dyDescent="0.35">
      <c r="A304" s="2" t="s">
        <v>20</v>
      </c>
      <c r="B304" s="2" t="s">
        <v>68</v>
      </c>
      <c r="C304" s="2" t="s">
        <v>69</v>
      </c>
      <c r="D304" s="2" t="s">
        <v>70</v>
      </c>
      <c r="E304" s="2" t="s">
        <v>71</v>
      </c>
      <c r="F304" s="2" t="s">
        <v>72</v>
      </c>
      <c r="G304" s="2" t="s">
        <v>86</v>
      </c>
      <c r="H304" s="3">
        <v>44238</v>
      </c>
      <c r="I304" s="2" t="s">
        <v>79</v>
      </c>
      <c r="J304" s="2" t="s">
        <v>40</v>
      </c>
      <c r="K304" s="4">
        <v>2021</v>
      </c>
      <c r="L304" s="4">
        <v>2.411</v>
      </c>
      <c r="M304" s="4" t="s">
        <v>73</v>
      </c>
      <c r="N304" s="4" t="s">
        <v>30</v>
      </c>
      <c r="O304" s="4">
        <v>453.26799999999997</v>
      </c>
      <c r="P304" s="4">
        <v>13.598000000000001</v>
      </c>
      <c r="Q304" s="12">
        <v>439.67</v>
      </c>
      <c r="R304" s="4" t="s">
        <v>561</v>
      </c>
      <c r="S304" s="4">
        <v>356.82799999999997</v>
      </c>
      <c r="T304" s="4">
        <v>82.841999999999999</v>
      </c>
    </row>
    <row r="305" spans="1:20" ht="29.4" thickBot="1" x14ac:dyDescent="0.35">
      <c r="A305" s="2" t="s">
        <v>43</v>
      </c>
      <c r="B305" s="2" t="s">
        <v>44</v>
      </c>
      <c r="C305" s="2" t="s">
        <v>75</v>
      </c>
      <c r="D305" s="2" t="s">
        <v>309</v>
      </c>
      <c r="E305" s="2" t="s">
        <v>77</v>
      </c>
      <c r="F305" s="2" t="s">
        <v>310</v>
      </c>
      <c r="G305" s="2" t="s">
        <v>86</v>
      </c>
      <c r="H305" s="3">
        <v>44310</v>
      </c>
      <c r="I305" s="2" t="s">
        <v>91</v>
      </c>
      <c r="J305" s="2" t="s">
        <v>92</v>
      </c>
      <c r="K305" s="4">
        <v>2021</v>
      </c>
      <c r="L305" s="4">
        <v>3.4129999999999998</v>
      </c>
      <c r="M305" s="4" t="s">
        <v>80</v>
      </c>
      <c r="N305" s="4" t="s">
        <v>47</v>
      </c>
      <c r="O305" s="4" t="s">
        <v>562</v>
      </c>
      <c r="P305" s="4">
        <v>46.076000000000001</v>
      </c>
      <c r="Q305" s="12" t="s">
        <v>563</v>
      </c>
      <c r="R305" s="4" t="s">
        <v>564</v>
      </c>
      <c r="S305" s="4" t="s">
        <v>565</v>
      </c>
      <c r="T305" s="4">
        <v>438.57100000000003</v>
      </c>
    </row>
    <row r="306" spans="1:20" ht="29.4" thickBot="1" x14ac:dyDescent="0.35">
      <c r="A306" s="2" t="s">
        <v>58</v>
      </c>
      <c r="B306" s="2" t="s">
        <v>21</v>
      </c>
      <c r="C306" s="2" t="s">
        <v>75</v>
      </c>
      <c r="D306" s="2" t="s">
        <v>353</v>
      </c>
      <c r="E306" s="2" t="s">
        <v>77</v>
      </c>
      <c r="F306" s="2" t="s">
        <v>354</v>
      </c>
      <c r="G306" s="2" t="s">
        <v>86</v>
      </c>
      <c r="H306" s="3">
        <v>44097</v>
      </c>
      <c r="I306" s="2" t="s">
        <v>27</v>
      </c>
      <c r="J306" s="2" t="s">
        <v>28</v>
      </c>
      <c r="K306" s="4">
        <v>2020</v>
      </c>
      <c r="L306" s="4">
        <v>2.2989999999999999</v>
      </c>
      <c r="M306" s="4" t="s">
        <v>80</v>
      </c>
      <c r="N306" s="4" t="s">
        <v>63</v>
      </c>
      <c r="O306" s="4">
        <v>41.381999999999998</v>
      </c>
      <c r="P306" s="4">
        <v>1.2410000000000001</v>
      </c>
      <c r="Q306" s="12">
        <v>40.140999999999998</v>
      </c>
      <c r="R306" s="4" t="s">
        <v>566</v>
      </c>
      <c r="S306" s="4">
        <v>708.09199999999998</v>
      </c>
      <c r="T306" s="4">
        <v>-667.95100000000002</v>
      </c>
    </row>
    <row r="307" spans="1:20" ht="15" thickBot="1" x14ac:dyDescent="0.35">
      <c r="A307" s="2" t="s">
        <v>20</v>
      </c>
      <c r="B307" s="2" t="s">
        <v>34</v>
      </c>
      <c r="C307" s="2" t="s">
        <v>75</v>
      </c>
      <c r="D307" s="2" t="s">
        <v>567</v>
      </c>
      <c r="E307" s="2" t="s">
        <v>77</v>
      </c>
      <c r="F307" s="2" t="s">
        <v>251</v>
      </c>
      <c r="G307" s="2" t="s">
        <v>86</v>
      </c>
      <c r="H307" s="3">
        <v>43898</v>
      </c>
      <c r="I307" s="2" t="s">
        <v>112</v>
      </c>
      <c r="J307" s="2" t="s">
        <v>40</v>
      </c>
      <c r="K307" s="4">
        <v>2020</v>
      </c>
      <c r="L307" s="4">
        <v>1.8839999999999999</v>
      </c>
      <c r="M307" s="4" t="s">
        <v>80</v>
      </c>
      <c r="N307" s="4" t="s">
        <v>30</v>
      </c>
      <c r="O307" s="4">
        <v>354.19200000000001</v>
      </c>
      <c r="P307" s="4">
        <v>10.625999999999999</v>
      </c>
      <c r="Q307" s="12">
        <v>343.56599999999997</v>
      </c>
      <c r="R307" s="4" t="s">
        <v>559</v>
      </c>
      <c r="S307" s="4">
        <v>580.27200000000005</v>
      </c>
      <c r="T307" s="4">
        <v>-236.70599999999999</v>
      </c>
    </row>
    <row r="308" spans="1:20" ht="29.4" thickBot="1" x14ac:dyDescent="0.35">
      <c r="A308" s="2" t="s">
        <v>43</v>
      </c>
      <c r="B308" s="2" t="s">
        <v>68</v>
      </c>
      <c r="C308" s="2" t="s">
        <v>75</v>
      </c>
      <c r="D308" s="2" t="s">
        <v>265</v>
      </c>
      <c r="E308" s="2" t="s">
        <v>77</v>
      </c>
      <c r="F308" s="2" t="s">
        <v>266</v>
      </c>
      <c r="G308" s="2" t="s">
        <v>86</v>
      </c>
      <c r="H308" s="3">
        <v>43932</v>
      </c>
      <c r="I308" s="2" t="s">
        <v>91</v>
      </c>
      <c r="J308" s="2" t="s">
        <v>92</v>
      </c>
      <c r="K308" s="4">
        <v>2020</v>
      </c>
      <c r="L308" s="4">
        <v>2.2490000000000001</v>
      </c>
      <c r="M308" s="4" t="s">
        <v>80</v>
      </c>
      <c r="N308" s="4" t="s">
        <v>47</v>
      </c>
      <c r="O308" s="4" t="s">
        <v>568</v>
      </c>
      <c r="P308" s="4">
        <v>30.361999999999998</v>
      </c>
      <c r="Q308" s="12">
        <v>981.68899999999996</v>
      </c>
      <c r="R308" s="4" t="s">
        <v>569</v>
      </c>
      <c r="S308" s="4">
        <v>692.69200000000001</v>
      </c>
      <c r="T308" s="4">
        <v>288.99700000000001</v>
      </c>
    </row>
    <row r="309" spans="1:20" ht="15" thickBot="1" x14ac:dyDescent="0.35">
      <c r="A309" s="2" t="s">
        <v>49</v>
      </c>
      <c r="B309" s="2" t="s">
        <v>34</v>
      </c>
      <c r="C309" s="2" t="s">
        <v>75</v>
      </c>
      <c r="D309" s="2" t="s">
        <v>171</v>
      </c>
      <c r="E309" s="2" t="s">
        <v>77</v>
      </c>
      <c r="F309" s="2" t="s">
        <v>172</v>
      </c>
      <c r="G309" s="2" t="s">
        <v>86</v>
      </c>
      <c r="H309" s="3">
        <v>44186</v>
      </c>
      <c r="I309" s="2" t="s">
        <v>100</v>
      </c>
      <c r="J309" s="2" t="s">
        <v>96</v>
      </c>
      <c r="K309" s="4">
        <v>2020</v>
      </c>
      <c r="L309" s="4">
        <v>1.97</v>
      </c>
      <c r="M309" s="4" t="s">
        <v>80</v>
      </c>
      <c r="N309" s="4" t="s">
        <v>54</v>
      </c>
      <c r="O309" s="4" t="s">
        <v>570</v>
      </c>
      <c r="P309" s="4">
        <v>31.027999999999999</v>
      </c>
      <c r="Q309" s="12" t="s">
        <v>571</v>
      </c>
      <c r="R309" s="4" t="s">
        <v>572</v>
      </c>
      <c r="S309" s="4">
        <v>606.76</v>
      </c>
      <c r="T309" s="4">
        <v>396.46300000000002</v>
      </c>
    </row>
    <row r="310" spans="1:20" ht="15" thickBot="1" x14ac:dyDescent="0.35">
      <c r="A310" s="2" t="s">
        <v>49</v>
      </c>
      <c r="B310" s="2" t="s">
        <v>34</v>
      </c>
      <c r="C310" s="2" t="s">
        <v>82</v>
      </c>
      <c r="D310" s="2" t="s">
        <v>197</v>
      </c>
      <c r="E310" s="2" t="s">
        <v>84</v>
      </c>
      <c r="F310" s="2" t="s">
        <v>198</v>
      </c>
      <c r="G310" s="2" t="s">
        <v>86</v>
      </c>
      <c r="H310" s="3">
        <v>44185</v>
      </c>
      <c r="I310" s="2" t="s">
        <v>100</v>
      </c>
      <c r="J310" s="2" t="s">
        <v>96</v>
      </c>
      <c r="K310" s="4">
        <v>2020</v>
      </c>
      <c r="L310" s="4">
        <v>997</v>
      </c>
      <c r="M310" s="4" t="s">
        <v>87</v>
      </c>
      <c r="N310" s="4" t="s">
        <v>165</v>
      </c>
      <c r="O310" s="4">
        <v>29.91</v>
      </c>
      <c r="P310" s="4">
        <v>897</v>
      </c>
      <c r="Q310" s="12">
        <v>29.013000000000002</v>
      </c>
      <c r="R310" s="6">
        <v>46007</v>
      </c>
      <c r="S310" s="4">
        <v>3.988</v>
      </c>
      <c r="T310" s="4">
        <v>25.024999999999999</v>
      </c>
    </row>
    <row r="311" spans="1:20" ht="15" thickBot="1" x14ac:dyDescent="0.35">
      <c r="A311" s="2" t="s">
        <v>49</v>
      </c>
      <c r="B311" s="2" t="s">
        <v>74</v>
      </c>
      <c r="C311" s="2" t="s">
        <v>69</v>
      </c>
      <c r="D311" s="2" t="s">
        <v>113</v>
      </c>
      <c r="E311" s="2" t="s">
        <v>71</v>
      </c>
      <c r="F311" s="2" t="s">
        <v>114</v>
      </c>
      <c r="G311" s="2" t="s">
        <v>86</v>
      </c>
      <c r="H311" s="3">
        <v>44167</v>
      </c>
      <c r="I311" s="2" t="s">
        <v>100</v>
      </c>
      <c r="J311" s="2" t="s">
        <v>96</v>
      </c>
      <c r="K311" s="4">
        <v>2020</v>
      </c>
      <c r="L311" s="4">
        <v>4.6210000000000004</v>
      </c>
      <c r="M311" s="4" t="s">
        <v>73</v>
      </c>
      <c r="N311" s="4" t="s">
        <v>165</v>
      </c>
      <c r="O311" s="4">
        <v>138.63</v>
      </c>
      <c r="P311" s="4">
        <v>4.1589999999999998</v>
      </c>
      <c r="Q311" s="12">
        <v>134.471</v>
      </c>
      <c r="R311" s="4" t="s">
        <v>573</v>
      </c>
      <c r="S311" s="4">
        <v>683.90800000000002</v>
      </c>
      <c r="T311" s="4">
        <v>-549.43700000000001</v>
      </c>
    </row>
    <row r="312" spans="1:20" ht="29.4" thickBot="1" x14ac:dyDescent="0.35">
      <c r="A312" s="2" t="s">
        <v>58</v>
      </c>
      <c r="B312" s="2" t="s">
        <v>44</v>
      </c>
      <c r="C312" s="2" t="s">
        <v>75</v>
      </c>
      <c r="D312" s="2" t="s">
        <v>278</v>
      </c>
      <c r="E312" s="2" t="s">
        <v>77</v>
      </c>
      <c r="F312" s="2" t="s">
        <v>279</v>
      </c>
      <c r="G312" s="2" t="s">
        <v>86</v>
      </c>
      <c r="H312" s="3">
        <v>44544</v>
      </c>
      <c r="I312" s="2" t="s">
        <v>100</v>
      </c>
      <c r="J312" s="2" t="s">
        <v>96</v>
      </c>
      <c r="K312" s="4">
        <v>2021</v>
      </c>
      <c r="L312" s="4">
        <v>2.9750000000000001</v>
      </c>
      <c r="M312" s="4" t="s">
        <v>80</v>
      </c>
      <c r="N312" s="4" t="s">
        <v>63</v>
      </c>
      <c r="O312" s="4">
        <v>53.55</v>
      </c>
      <c r="P312" s="4">
        <v>1.607</v>
      </c>
      <c r="Q312" s="12">
        <v>51.944000000000003</v>
      </c>
      <c r="R312" s="4" t="s">
        <v>574</v>
      </c>
      <c r="S312" s="4">
        <v>916.3</v>
      </c>
      <c r="T312" s="4">
        <v>-864.35699999999997</v>
      </c>
    </row>
    <row r="313" spans="1:20" ht="15" thickBot="1" x14ac:dyDescent="0.35">
      <c r="A313" s="2" t="s">
        <v>33</v>
      </c>
      <c r="B313" s="2" t="s">
        <v>74</v>
      </c>
      <c r="C313" s="2" t="s">
        <v>22</v>
      </c>
      <c r="D313" s="2" t="s">
        <v>447</v>
      </c>
      <c r="E313" s="2" t="s">
        <v>24</v>
      </c>
      <c r="F313" s="2" t="s">
        <v>352</v>
      </c>
      <c r="G313" s="2" t="s">
        <v>86</v>
      </c>
      <c r="H313" s="3">
        <v>44307</v>
      </c>
      <c r="I313" s="2" t="s">
        <v>91</v>
      </c>
      <c r="J313" s="2" t="s">
        <v>92</v>
      </c>
      <c r="K313" s="4">
        <v>2021</v>
      </c>
      <c r="L313" s="4">
        <v>2.4369999999999998</v>
      </c>
      <c r="M313" s="4" t="s">
        <v>29</v>
      </c>
      <c r="N313" s="4" t="s">
        <v>42</v>
      </c>
      <c r="O313" s="4">
        <v>56.051000000000002</v>
      </c>
      <c r="P313" s="4">
        <v>2.242</v>
      </c>
      <c r="Q313" s="12">
        <v>53.808999999999997</v>
      </c>
      <c r="R313" s="4" t="s">
        <v>341</v>
      </c>
      <c r="S313" s="4">
        <v>14.622</v>
      </c>
      <c r="T313" s="4">
        <v>39.186999999999998</v>
      </c>
    </row>
    <row r="314" spans="1:20" ht="15" thickBot="1" x14ac:dyDescent="0.35">
      <c r="A314" s="2" t="s">
        <v>33</v>
      </c>
      <c r="B314" s="2" t="s">
        <v>50</v>
      </c>
      <c r="C314" s="2" t="s">
        <v>35</v>
      </c>
      <c r="D314" s="2" t="s">
        <v>202</v>
      </c>
      <c r="E314" s="2" t="s">
        <v>37</v>
      </c>
      <c r="F314" s="2" t="s">
        <v>203</v>
      </c>
      <c r="G314" s="2" t="s">
        <v>86</v>
      </c>
      <c r="H314" s="3">
        <v>44553</v>
      </c>
      <c r="I314" s="2" t="s">
        <v>100</v>
      </c>
      <c r="J314" s="2" t="s">
        <v>96</v>
      </c>
      <c r="K314" s="4">
        <v>2021</v>
      </c>
      <c r="L314" s="4">
        <v>2.4369999999999998</v>
      </c>
      <c r="M314" s="4" t="s">
        <v>41</v>
      </c>
      <c r="N314" s="4" t="s">
        <v>42</v>
      </c>
      <c r="O314" s="4">
        <v>56.051000000000002</v>
      </c>
      <c r="P314" s="4">
        <v>2.242</v>
      </c>
      <c r="Q314" s="12">
        <v>53.808999999999997</v>
      </c>
      <c r="R314" s="4" t="s">
        <v>341</v>
      </c>
      <c r="S314" s="4">
        <v>29.244</v>
      </c>
      <c r="T314" s="4">
        <v>24.565000000000001</v>
      </c>
    </row>
    <row r="315" spans="1:20" ht="29.4" thickBot="1" x14ac:dyDescent="0.35">
      <c r="A315" s="2" t="s">
        <v>43</v>
      </c>
      <c r="B315" s="2" t="s">
        <v>50</v>
      </c>
      <c r="C315" s="2" t="s">
        <v>82</v>
      </c>
      <c r="D315" s="2" t="s">
        <v>128</v>
      </c>
      <c r="E315" s="2" t="s">
        <v>84</v>
      </c>
      <c r="F315" s="2" t="s">
        <v>129</v>
      </c>
      <c r="G315" s="2" t="s">
        <v>86</v>
      </c>
      <c r="H315" s="3">
        <v>44080</v>
      </c>
      <c r="I315" s="2" t="s">
        <v>27</v>
      </c>
      <c r="J315" s="2" t="s">
        <v>28</v>
      </c>
      <c r="K315" s="4">
        <v>2020</v>
      </c>
      <c r="L315" s="4">
        <v>2.4249999999999998</v>
      </c>
      <c r="M315" s="4" t="s">
        <v>87</v>
      </c>
      <c r="N315" s="4" t="s">
        <v>47</v>
      </c>
      <c r="O315" s="4" t="s">
        <v>575</v>
      </c>
      <c r="P315" s="4">
        <v>43.65</v>
      </c>
      <c r="Q315" s="12" t="s">
        <v>576</v>
      </c>
      <c r="R315" s="4" t="s">
        <v>577</v>
      </c>
      <c r="S315" s="4">
        <v>9.6999999999999993</v>
      </c>
      <c r="T315" s="4" t="s">
        <v>578</v>
      </c>
    </row>
    <row r="316" spans="1:20" ht="15" thickBot="1" x14ac:dyDescent="0.35">
      <c r="A316" s="2" t="s">
        <v>49</v>
      </c>
      <c r="B316" s="2" t="s">
        <v>21</v>
      </c>
      <c r="C316" s="2" t="s">
        <v>82</v>
      </c>
      <c r="D316" s="2" t="s">
        <v>248</v>
      </c>
      <c r="E316" s="2" t="s">
        <v>84</v>
      </c>
      <c r="F316" s="2" t="s">
        <v>249</v>
      </c>
      <c r="G316" s="2" t="s">
        <v>86</v>
      </c>
      <c r="H316" s="3">
        <v>44356</v>
      </c>
      <c r="I316" s="2" t="s">
        <v>205</v>
      </c>
      <c r="J316" s="2" t="s">
        <v>92</v>
      </c>
      <c r="K316" s="4">
        <v>2021</v>
      </c>
      <c r="L316" s="4">
        <v>329</v>
      </c>
      <c r="M316" s="4" t="s">
        <v>87</v>
      </c>
      <c r="N316" s="4" t="s">
        <v>54</v>
      </c>
      <c r="O316" s="4">
        <v>172.72499999999999</v>
      </c>
      <c r="P316" s="4">
        <v>6.9089999999999998</v>
      </c>
      <c r="Q316" s="12">
        <v>165.816</v>
      </c>
      <c r="R316" s="4" t="s">
        <v>579</v>
      </c>
      <c r="S316" s="4">
        <v>1.3160000000000001</v>
      </c>
      <c r="T316" s="4">
        <v>164.5</v>
      </c>
    </row>
    <row r="317" spans="1:20" ht="15" thickBot="1" x14ac:dyDescent="0.35">
      <c r="A317" s="2" t="s">
        <v>33</v>
      </c>
      <c r="B317" s="2" t="s">
        <v>44</v>
      </c>
      <c r="C317" s="2" t="s">
        <v>22</v>
      </c>
      <c r="D317" s="2" t="s">
        <v>580</v>
      </c>
      <c r="E317" s="2" t="s">
        <v>24</v>
      </c>
      <c r="F317" s="2" t="s">
        <v>435</v>
      </c>
      <c r="G317" s="2" t="s">
        <v>86</v>
      </c>
      <c r="H317" s="3">
        <v>44528</v>
      </c>
      <c r="I317" s="2" t="s">
        <v>95</v>
      </c>
      <c r="J317" s="2" t="s">
        <v>96</v>
      </c>
      <c r="K317" s="4">
        <v>2021</v>
      </c>
      <c r="L317" s="4">
        <v>2.36</v>
      </c>
      <c r="M317" s="4" t="s">
        <v>29</v>
      </c>
      <c r="N317" s="4" t="s">
        <v>42</v>
      </c>
      <c r="O317" s="4">
        <v>54.28</v>
      </c>
      <c r="P317" s="4">
        <v>2.1709999999999998</v>
      </c>
      <c r="Q317" s="12">
        <v>52.109000000000002</v>
      </c>
      <c r="R317" s="4" t="s">
        <v>581</v>
      </c>
      <c r="S317" s="4">
        <v>14.16</v>
      </c>
      <c r="T317" s="4">
        <v>37.948999999999998</v>
      </c>
    </row>
    <row r="318" spans="1:20" ht="29.4" thickBot="1" x14ac:dyDescent="0.35">
      <c r="A318" s="2" t="s">
        <v>43</v>
      </c>
      <c r="B318" s="2" t="s">
        <v>74</v>
      </c>
      <c r="C318" s="2" t="s">
        <v>22</v>
      </c>
      <c r="D318" s="2" t="s">
        <v>322</v>
      </c>
      <c r="E318" s="2" t="s">
        <v>24</v>
      </c>
      <c r="F318" s="2" t="s">
        <v>282</v>
      </c>
      <c r="G318" s="2" t="s">
        <v>86</v>
      </c>
      <c r="H318" s="3">
        <v>44336</v>
      </c>
      <c r="I318" s="2" t="s">
        <v>142</v>
      </c>
      <c r="J318" s="2" t="s">
        <v>92</v>
      </c>
      <c r="K318" s="4">
        <v>2021</v>
      </c>
      <c r="L318" s="4">
        <v>2.2309999999999999</v>
      </c>
      <c r="M318" s="4" t="s">
        <v>29</v>
      </c>
      <c r="N318" s="4" t="s">
        <v>47</v>
      </c>
      <c r="O318" s="4" t="s">
        <v>582</v>
      </c>
      <c r="P318" s="4">
        <v>40.158000000000001</v>
      </c>
      <c r="Q318" s="12">
        <v>963.79200000000003</v>
      </c>
      <c r="R318" s="4" t="s">
        <v>583</v>
      </c>
      <c r="S318" s="4">
        <v>13.385999999999999</v>
      </c>
      <c r="T318" s="4">
        <v>950.40599999999995</v>
      </c>
    </row>
    <row r="319" spans="1:20" ht="29.4" thickBot="1" x14ac:dyDescent="0.35">
      <c r="A319" s="2" t="s">
        <v>43</v>
      </c>
      <c r="B319" s="2" t="s">
        <v>74</v>
      </c>
      <c r="C319" s="2" t="s">
        <v>22</v>
      </c>
      <c r="D319" s="2" t="s">
        <v>322</v>
      </c>
      <c r="E319" s="2" t="s">
        <v>24</v>
      </c>
      <c r="F319" s="2" t="s">
        <v>282</v>
      </c>
      <c r="G319" s="2" t="s">
        <v>86</v>
      </c>
      <c r="H319" s="3">
        <v>44353</v>
      </c>
      <c r="I319" s="2" t="s">
        <v>205</v>
      </c>
      <c r="J319" s="2" t="s">
        <v>92</v>
      </c>
      <c r="K319" s="4">
        <v>2021</v>
      </c>
      <c r="L319" s="4">
        <v>2.4249999999999998</v>
      </c>
      <c r="M319" s="4" t="s">
        <v>29</v>
      </c>
      <c r="N319" s="4" t="s">
        <v>47</v>
      </c>
      <c r="O319" s="4" t="s">
        <v>575</v>
      </c>
      <c r="P319" s="4">
        <v>43.65</v>
      </c>
      <c r="Q319" s="12" t="s">
        <v>576</v>
      </c>
      <c r="R319" s="4" t="s">
        <v>577</v>
      </c>
      <c r="S319" s="4">
        <v>14.55</v>
      </c>
      <c r="T319" s="4" t="s">
        <v>584</v>
      </c>
    </row>
    <row r="320" spans="1:20" ht="15" thickBot="1" x14ac:dyDescent="0.35">
      <c r="A320" s="2" t="s">
        <v>20</v>
      </c>
      <c r="B320" s="2" t="s">
        <v>64</v>
      </c>
      <c r="C320" s="2" t="s">
        <v>22</v>
      </c>
      <c r="D320" s="2" t="s">
        <v>134</v>
      </c>
      <c r="E320" s="2" t="s">
        <v>24</v>
      </c>
      <c r="F320" s="2" t="s">
        <v>135</v>
      </c>
      <c r="G320" s="2" t="s">
        <v>86</v>
      </c>
      <c r="H320" s="3">
        <v>44504</v>
      </c>
      <c r="I320" s="2" t="s">
        <v>95</v>
      </c>
      <c r="J320" s="2" t="s">
        <v>96</v>
      </c>
      <c r="K320" s="4">
        <v>2021</v>
      </c>
      <c r="L320" s="4">
        <v>1.3660000000000001</v>
      </c>
      <c r="M320" s="4" t="s">
        <v>29</v>
      </c>
      <c r="N320" s="4" t="s">
        <v>30</v>
      </c>
      <c r="O320" s="4">
        <v>256.80799999999999</v>
      </c>
      <c r="P320" s="4">
        <v>10.272</v>
      </c>
      <c r="Q320" s="12">
        <v>246.536</v>
      </c>
      <c r="R320" s="4" t="s">
        <v>585</v>
      </c>
      <c r="S320" s="4">
        <v>8.1959999999999997</v>
      </c>
      <c r="T320" s="4">
        <v>238.34</v>
      </c>
    </row>
    <row r="321" spans="1:20" ht="15" thickBot="1" x14ac:dyDescent="0.35">
      <c r="A321" s="2" t="s">
        <v>49</v>
      </c>
      <c r="B321" s="2" t="s">
        <v>50</v>
      </c>
      <c r="C321" s="2" t="s">
        <v>35</v>
      </c>
      <c r="D321" s="2" t="s">
        <v>51</v>
      </c>
      <c r="E321" s="2" t="s">
        <v>37</v>
      </c>
      <c r="F321" s="2" t="s">
        <v>52</v>
      </c>
      <c r="G321" s="2" t="s">
        <v>86</v>
      </c>
      <c r="H321" s="3">
        <v>43956</v>
      </c>
      <c r="I321" s="2" t="s">
        <v>142</v>
      </c>
      <c r="J321" s="2" t="s">
        <v>92</v>
      </c>
      <c r="K321" s="4">
        <v>2020</v>
      </c>
      <c r="L321" s="4">
        <v>5.101</v>
      </c>
      <c r="M321" s="4" t="s">
        <v>41</v>
      </c>
      <c r="N321" s="4" t="s">
        <v>116</v>
      </c>
      <c r="O321" s="4">
        <v>56.110999999999997</v>
      </c>
      <c r="P321" s="4">
        <v>2.2440000000000002</v>
      </c>
      <c r="Q321" s="12">
        <v>53.866999999999997</v>
      </c>
      <c r="R321" s="4" t="s">
        <v>586</v>
      </c>
      <c r="S321" s="4">
        <v>61.212000000000003</v>
      </c>
      <c r="T321" s="4">
        <v>-7.3449999999999998</v>
      </c>
    </row>
    <row r="322" spans="1:20" ht="15" thickBot="1" x14ac:dyDescent="0.35">
      <c r="A322" s="2" t="s">
        <v>20</v>
      </c>
      <c r="B322" s="2" t="s">
        <v>68</v>
      </c>
      <c r="C322" s="2" t="s">
        <v>35</v>
      </c>
      <c r="D322" s="2" t="s">
        <v>137</v>
      </c>
      <c r="E322" s="2" t="s">
        <v>37</v>
      </c>
      <c r="F322" s="2" t="s">
        <v>138</v>
      </c>
      <c r="G322" s="2" t="s">
        <v>86</v>
      </c>
      <c r="H322" s="3">
        <v>44509</v>
      </c>
      <c r="I322" s="2" t="s">
        <v>95</v>
      </c>
      <c r="J322" s="2" t="s">
        <v>96</v>
      </c>
      <c r="K322" s="4">
        <v>2021</v>
      </c>
      <c r="L322" s="4">
        <v>954</v>
      </c>
      <c r="M322" s="4" t="s">
        <v>41</v>
      </c>
      <c r="N322" s="4" t="s">
        <v>30</v>
      </c>
      <c r="O322" s="4">
        <v>179.352</v>
      </c>
      <c r="P322" s="4">
        <v>7.1740000000000004</v>
      </c>
      <c r="Q322" s="12">
        <v>172.178</v>
      </c>
      <c r="R322" s="4" t="s">
        <v>587</v>
      </c>
      <c r="S322" s="4">
        <v>11.448</v>
      </c>
      <c r="T322" s="4">
        <v>160.72999999999999</v>
      </c>
    </row>
    <row r="323" spans="1:20" ht="29.4" thickBot="1" x14ac:dyDescent="0.35">
      <c r="A323" s="2" t="s">
        <v>43</v>
      </c>
      <c r="B323" s="2" t="s">
        <v>59</v>
      </c>
      <c r="C323" s="2" t="s">
        <v>35</v>
      </c>
      <c r="D323" s="2" t="s">
        <v>285</v>
      </c>
      <c r="E323" s="2" t="s">
        <v>37</v>
      </c>
      <c r="F323" s="2" t="s">
        <v>249</v>
      </c>
      <c r="G323" s="2" t="s">
        <v>86</v>
      </c>
      <c r="H323" s="3">
        <v>43885</v>
      </c>
      <c r="I323" s="2" t="s">
        <v>79</v>
      </c>
      <c r="J323" s="2" t="s">
        <v>40</v>
      </c>
      <c r="K323" s="4">
        <v>2020</v>
      </c>
      <c r="L323" s="4">
        <v>1.6970000000000001</v>
      </c>
      <c r="M323" s="4" t="s">
        <v>41</v>
      </c>
      <c r="N323" s="4" t="s">
        <v>47</v>
      </c>
      <c r="O323" s="4">
        <v>763.65</v>
      </c>
      <c r="P323" s="4">
        <v>30.545999999999999</v>
      </c>
      <c r="Q323" s="12">
        <v>733.10400000000004</v>
      </c>
      <c r="R323" s="4" t="s">
        <v>588</v>
      </c>
      <c r="S323" s="4">
        <v>20.364000000000001</v>
      </c>
      <c r="T323" s="4">
        <v>712.74</v>
      </c>
    </row>
    <row r="324" spans="1:20" ht="29.4" thickBot="1" x14ac:dyDescent="0.35">
      <c r="A324" s="2" t="s">
        <v>43</v>
      </c>
      <c r="B324" s="2" t="s">
        <v>50</v>
      </c>
      <c r="C324" s="2" t="s">
        <v>35</v>
      </c>
      <c r="D324" s="2" t="s">
        <v>494</v>
      </c>
      <c r="E324" s="2" t="s">
        <v>37</v>
      </c>
      <c r="F324" s="2" t="s">
        <v>367</v>
      </c>
      <c r="G324" s="2" t="s">
        <v>86</v>
      </c>
      <c r="H324" s="3">
        <v>44074</v>
      </c>
      <c r="I324" s="2" t="s">
        <v>53</v>
      </c>
      <c r="J324" s="2" t="s">
        <v>28</v>
      </c>
      <c r="K324" s="4">
        <v>2020</v>
      </c>
      <c r="L324" s="4">
        <v>3.5019999999999998</v>
      </c>
      <c r="M324" s="4" t="s">
        <v>41</v>
      </c>
      <c r="N324" s="4" t="s">
        <v>47</v>
      </c>
      <c r="O324" s="4" t="s">
        <v>589</v>
      </c>
      <c r="P324" s="4">
        <v>63.036000000000001</v>
      </c>
      <c r="Q324" s="12" t="s">
        <v>590</v>
      </c>
      <c r="R324" s="4" t="s">
        <v>591</v>
      </c>
      <c r="S324" s="4">
        <v>42.024000000000001</v>
      </c>
      <c r="T324" s="4" t="s">
        <v>592</v>
      </c>
    </row>
    <row r="325" spans="1:20" ht="15" thickBot="1" x14ac:dyDescent="0.35">
      <c r="A325" s="2" t="s">
        <v>49</v>
      </c>
      <c r="B325" s="2" t="s">
        <v>44</v>
      </c>
      <c r="C325" s="2" t="s">
        <v>35</v>
      </c>
      <c r="D325" s="2" t="s">
        <v>150</v>
      </c>
      <c r="E325" s="2" t="s">
        <v>37</v>
      </c>
      <c r="F325" s="2" t="s">
        <v>151</v>
      </c>
      <c r="G325" s="2" t="s">
        <v>86</v>
      </c>
      <c r="H325" s="3">
        <v>44404</v>
      </c>
      <c r="I325" s="2" t="s">
        <v>62</v>
      </c>
      <c r="J325" s="2" t="s">
        <v>28</v>
      </c>
      <c r="K325" s="4">
        <v>2021</v>
      </c>
      <c r="L325" s="4">
        <v>4.1399999999999997</v>
      </c>
      <c r="M325" s="4" t="s">
        <v>41</v>
      </c>
      <c r="N325" s="4" t="s">
        <v>54</v>
      </c>
      <c r="O325" s="4" t="s">
        <v>593</v>
      </c>
      <c r="P325" s="4">
        <v>86.94</v>
      </c>
      <c r="Q325" s="12" t="s">
        <v>594</v>
      </c>
      <c r="R325" s="4" t="s">
        <v>595</v>
      </c>
      <c r="S325" s="4">
        <v>49.68</v>
      </c>
      <c r="T325" s="4" t="s">
        <v>596</v>
      </c>
    </row>
    <row r="326" spans="1:20" ht="15" thickBot="1" x14ac:dyDescent="0.35">
      <c r="A326" s="2" t="s">
        <v>20</v>
      </c>
      <c r="B326" s="2" t="s">
        <v>44</v>
      </c>
      <c r="C326" s="2" t="s">
        <v>35</v>
      </c>
      <c r="D326" s="2" t="s">
        <v>229</v>
      </c>
      <c r="E326" s="2" t="s">
        <v>37</v>
      </c>
      <c r="F326" s="2" t="s">
        <v>230</v>
      </c>
      <c r="G326" s="2" t="s">
        <v>86</v>
      </c>
      <c r="H326" s="3">
        <v>44225</v>
      </c>
      <c r="I326" s="2" t="s">
        <v>39</v>
      </c>
      <c r="J326" s="2" t="s">
        <v>40</v>
      </c>
      <c r="K326" s="4">
        <v>2021</v>
      </c>
      <c r="L326" s="4">
        <v>3.5859999999999999</v>
      </c>
      <c r="M326" s="4" t="s">
        <v>41</v>
      </c>
      <c r="N326" s="4" t="s">
        <v>30</v>
      </c>
      <c r="O326" s="4">
        <v>674.16800000000001</v>
      </c>
      <c r="P326" s="4">
        <v>26.966999999999999</v>
      </c>
      <c r="Q326" s="12">
        <v>647.20100000000002</v>
      </c>
      <c r="R326" s="4" t="s">
        <v>597</v>
      </c>
      <c r="S326" s="4">
        <v>43.031999999999996</v>
      </c>
      <c r="T326" s="4">
        <v>604.16899999999998</v>
      </c>
    </row>
    <row r="327" spans="1:20" ht="15" thickBot="1" x14ac:dyDescent="0.35">
      <c r="A327" s="2" t="s">
        <v>33</v>
      </c>
      <c r="B327" s="2" t="s">
        <v>64</v>
      </c>
      <c r="C327" s="2" t="s">
        <v>35</v>
      </c>
      <c r="D327" s="2" t="s">
        <v>65</v>
      </c>
      <c r="E327" s="2" t="s">
        <v>37</v>
      </c>
      <c r="F327" s="2" t="s">
        <v>66</v>
      </c>
      <c r="G327" s="2" t="s">
        <v>86</v>
      </c>
      <c r="H327" s="3">
        <v>44291</v>
      </c>
      <c r="I327" s="2" t="s">
        <v>91</v>
      </c>
      <c r="J327" s="2" t="s">
        <v>92</v>
      </c>
      <c r="K327" s="4">
        <v>2021</v>
      </c>
      <c r="L327" s="4">
        <v>262</v>
      </c>
      <c r="M327" s="4" t="s">
        <v>41</v>
      </c>
      <c r="N327" s="4" t="s">
        <v>42</v>
      </c>
      <c r="O327" s="4">
        <v>6.0259999999999998</v>
      </c>
      <c r="P327" s="4">
        <v>241</v>
      </c>
      <c r="Q327" s="12">
        <v>5.7850000000000001</v>
      </c>
      <c r="R327" s="5">
        <v>41699</v>
      </c>
      <c r="S327" s="4">
        <v>3.1440000000000001</v>
      </c>
      <c r="T327" s="4">
        <v>2.641</v>
      </c>
    </row>
    <row r="328" spans="1:20" ht="15" thickBot="1" x14ac:dyDescent="0.35">
      <c r="A328" s="2" t="s">
        <v>49</v>
      </c>
      <c r="B328" s="2" t="s">
        <v>50</v>
      </c>
      <c r="C328" s="2" t="s">
        <v>35</v>
      </c>
      <c r="D328" s="2" t="s">
        <v>51</v>
      </c>
      <c r="E328" s="2" t="s">
        <v>37</v>
      </c>
      <c r="F328" s="2" t="s">
        <v>52</v>
      </c>
      <c r="G328" s="2" t="s">
        <v>86</v>
      </c>
      <c r="H328" s="3">
        <v>44560</v>
      </c>
      <c r="I328" s="2" t="s">
        <v>100</v>
      </c>
      <c r="J328" s="2" t="s">
        <v>96</v>
      </c>
      <c r="K328" s="4">
        <v>2021</v>
      </c>
      <c r="L328" s="4">
        <v>2.4889999999999999</v>
      </c>
      <c r="M328" s="4" t="s">
        <v>41</v>
      </c>
      <c r="N328" s="4" t="s">
        <v>165</v>
      </c>
      <c r="O328" s="4">
        <v>74.67</v>
      </c>
      <c r="P328" s="4">
        <v>2.9870000000000001</v>
      </c>
      <c r="Q328" s="12">
        <v>71.683000000000007</v>
      </c>
      <c r="R328" s="4" t="s">
        <v>598</v>
      </c>
      <c r="S328" s="4">
        <v>29.867999999999999</v>
      </c>
      <c r="T328" s="4">
        <v>41.814999999999998</v>
      </c>
    </row>
    <row r="329" spans="1:20" ht="15" thickBot="1" x14ac:dyDescent="0.35">
      <c r="A329" s="2" t="s">
        <v>49</v>
      </c>
      <c r="B329" s="2" t="s">
        <v>44</v>
      </c>
      <c r="C329" s="2" t="s">
        <v>35</v>
      </c>
      <c r="D329" s="2" t="s">
        <v>150</v>
      </c>
      <c r="E329" s="2" t="s">
        <v>37</v>
      </c>
      <c r="F329" s="2" t="s">
        <v>151</v>
      </c>
      <c r="G329" s="2" t="s">
        <v>86</v>
      </c>
      <c r="H329" s="3">
        <v>44271</v>
      </c>
      <c r="I329" s="2" t="s">
        <v>112</v>
      </c>
      <c r="J329" s="2" t="s">
        <v>40</v>
      </c>
      <c r="K329" s="4">
        <v>2021</v>
      </c>
      <c r="L329" s="4">
        <v>1.2669999999999999</v>
      </c>
      <c r="M329" s="4" t="s">
        <v>41</v>
      </c>
      <c r="N329" s="4" t="s">
        <v>165</v>
      </c>
      <c r="O329" s="4">
        <v>38.01</v>
      </c>
      <c r="P329" s="4">
        <v>1.52</v>
      </c>
      <c r="Q329" s="12">
        <v>36.49</v>
      </c>
      <c r="R329" s="4" t="s">
        <v>599</v>
      </c>
      <c r="S329" s="4">
        <v>15.204000000000001</v>
      </c>
      <c r="T329" s="4">
        <v>21.286000000000001</v>
      </c>
    </row>
    <row r="330" spans="1:20" ht="15" thickBot="1" x14ac:dyDescent="0.35">
      <c r="A330" s="2" t="s">
        <v>49</v>
      </c>
      <c r="B330" s="2" t="s">
        <v>44</v>
      </c>
      <c r="C330" s="2" t="s">
        <v>35</v>
      </c>
      <c r="D330" s="2" t="s">
        <v>150</v>
      </c>
      <c r="E330" s="2" t="s">
        <v>37</v>
      </c>
      <c r="F330" s="2" t="s">
        <v>151</v>
      </c>
      <c r="G330" s="2" t="s">
        <v>86</v>
      </c>
      <c r="H330" s="3">
        <v>44151</v>
      </c>
      <c r="I330" s="2" t="s">
        <v>95</v>
      </c>
      <c r="J330" s="2" t="s">
        <v>96</v>
      </c>
      <c r="K330" s="4">
        <v>2020</v>
      </c>
      <c r="L330" s="4">
        <v>329</v>
      </c>
      <c r="M330" s="4" t="s">
        <v>41</v>
      </c>
      <c r="N330" s="4" t="s">
        <v>54</v>
      </c>
      <c r="O330" s="4">
        <v>172.72499999999999</v>
      </c>
      <c r="P330" s="4">
        <v>6.9089999999999998</v>
      </c>
      <c r="Q330" s="12">
        <v>165.816</v>
      </c>
      <c r="R330" s="4" t="s">
        <v>579</v>
      </c>
      <c r="S330" s="4">
        <v>3.948</v>
      </c>
      <c r="T330" s="4">
        <v>161.86799999999999</v>
      </c>
    </row>
    <row r="331" spans="1:20" ht="15" thickBot="1" x14ac:dyDescent="0.35">
      <c r="A331" s="2" t="s">
        <v>20</v>
      </c>
      <c r="B331" s="2" t="s">
        <v>74</v>
      </c>
      <c r="C331" s="2" t="s">
        <v>35</v>
      </c>
      <c r="D331" s="2" t="s">
        <v>140</v>
      </c>
      <c r="E331" s="2" t="s">
        <v>37</v>
      </c>
      <c r="F331" s="2" t="s">
        <v>141</v>
      </c>
      <c r="G331" s="2" t="s">
        <v>86</v>
      </c>
      <c r="H331" s="3">
        <v>43880</v>
      </c>
      <c r="I331" s="2" t="s">
        <v>79</v>
      </c>
      <c r="J331" s="2" t="s">
        <v>40</v>
      </c>
      <c r="K331" s="4">
        <v>2020</v>
      </c>
      <c r="L331" s="4">
        <v>1.3660000000000001</v>
      </c>
      <c r="M331" s="4" t="s">
        <v>41</v>
      </c>
      <c r="N331" s="4" t="s">
        <v>30</v>
      </c>
      <c r="O331" s="4">
        <v>256.80799999999999</v>
      </c>
      <c r="P331" s="4">
        <v>10.272</v>
      </c>
      <c r="Q331" s="12">
        <v>246.536</v>
      </c>
      <c r="R331" s="4" t="s">
        <v>585</v>
      </c>
      <c r="S331" s="4">
        <v>16.391999999999999</v>
      </c>
      <c r="T331" s="4">
        <v>230.14400000000001</v>
      </c>
    </row>
    <row r="332" spans="1:20" ht="29.4" thickBot="1" x14ac:dyDescent="0.35">
      <c r="A332" s="2" t="s">
        <v>58</v>
      </c>
      <c r="B332" s="2" t="s">
        <v>50</v>
      </c>
      <c r="C332" s="2" t="s">
        <v>69</v>
      </c>
      <c r="D332" s="2" t="s">
        <v>600</v>
      </c>
      <c r="E332" s="2" t="s">
        <v>71</v>
      </c>
      <c r="F332" s="2" t="s">
        <v>335</v>
      </c>
      <c r="G332" s="2" t="s">
        <v>86</v>
      </c>
      <c r="H332" s="3">
        <v>44556</v>
      </c>
      <c r="I332" s="2" t="s">
        <v>100</v>
      </c>
      <c r="J332" s="2" t="s">
        <v>96</v>
      </c>
      <c r="K332" s="4">
        <v>2021</v>
      </c>
      <c r="L332" s="4">
        <v>1.758</v>
      </c>
      <c r="M332" s="4" t="s">
        <v>73</v>
      </c>
      <c r="N332" s="4" t="s">
        <v>63</v>
      </c>
      <c r="O332" s="4">
        <v>31.643999999999998</v>
      </c>
      <c r="P332" s="4">
        <v>1.266</v>
      </c>
      <c r="Q332" s="12">
        <v>30.378</v>
      </c>
      <c r="R332" s="4" t="s">
        <v>601</v>
      </c>
      <c r="S332" s="4">
        <v>260.18400000000003</v>
      </c>
      <c r="T332" s="4">
        <v>-229.80600000000001</v>
      </c>
    </row>
    <row r="333" spans="1:20" ht="15" thickBot="1" x14ac:dyDescent="0.35">
      <c r="A333" s="2" t="s">
        <v>49</v>
      </c>
      <c r="B333" s="2" t="s">
        <v>64</v>
      </c>
      <c r="C333" s="2" t="s">
        <v>69</v>
      </c>
      <c r="D333" s="2" t="s">
        <v>239</v>
      </c>
      <c r="E333" s="2" t="s">
        <v>71</v>
      </c>
      <c r="F333" s="2" t="s">
        <v>240</v>
      </c>
      <c r="G333" s="2" t="s">
        <v>86</v>
      </c>
      <c r="H333" s="3">
        <v>44334</v>
      </c>
      <c r="I333" s="2" t="s">
        <v>142</v>
      </c>
      <c r="J333" s="2" t="s">
        <v>92</v>
      </c>
      <c r="K333" s="4">
        <v>2021</v>
      </c>
      <c r="L333" s="4">
        <v>2.6120000000000001</v>
      </c>
      <c r="M333" s="4" t="s">
        <v>73</v>
      </c>
      <c r="N333" s="4" t="s">
        <v>54</v>
      </c>
      <c r="O333" s="4" t="s">
        <v>602</v>
      </c>
      <c r="P333" s="4">
        <v>54.851999999999997</v>
      </c>
      <c r="Q333" s="12" t="s">
        <v>603</v>
      </c>
      <c r="R333" s="4" t="s">
        <v>604</v>
      </c>
      <c r="S333" s="4">
        <v>386.57600000000002</v>
      </c>
      <c r="T333" s="4">
        <v>929.87199999999996</v>
      </c>
    </row>
    <row r="334" spans="1:20" ht="29.4" thickBot="1" x14ac:dyDescent="0.35">
      <c r="A334" s="2" t="s">
        <v>58</v>
      </c>
      <c r="B334" s="2" t="s">
        <v>21</v>
      </c>
      <c r="C334" s="2" t="s">
        <v>75</v>
      </c>
      <c r="D334" s="2" t="s">
        <v>325</v>
      </c>
      <c r="E334" s="2" t="s">
        <v>77</v>
      </c>
      <c r="F334" s="2" t="s">
        <v>326</v>
      </c>
      <c r="G334" s="2" t="s">
        <v>86</v>
      </c>
      <c r="H334" s="3">
        <v>44012</v>
      </c>
      <c r="I334" s="2" t="s">
        <v>205</v>
      </c>
      <c r="J334" s="2" t="s">
        <v>92</v>
      </c>
      <c r="K334" s="4">
        <v>2020</v>
      </c>
      <c r="L334" s="4">
        <v>1.0389999999999999</v>
      </c>
      <c r="M334" s="4" t="s">
        <v>80</v>
      </c>
      <c r="N334" s="4" t="s">
        <v>63</v>
      </c>
      <c r="O334" s="4">
        <v>18.702000000000002</v>
      </c>
      <c r="P334" s="4">
        <v>748</v>
      </c>
      <c r="Q334" s="12">
        <v>17.954000000000001</v>
      </c>
      <c r="R334" s="5">
        <v>36039</v>
      </c>
      <c r="S334" s="4">
        <v>320.012</v>
      </c>
      <c r="T334" s="4">
        <v>-302.05799999999999</v>
      </c>
    </row>
    <row r="335" spans="1:20" ht="15" thickBot="1" x14ac:dyDescent="0.35">
      <c r="A335" s="2" t="s">
        <v>49</v>
      </c>
      <c r="B335" s="2" t="s">
        <v>74</v>
      </c>
      <c r="C335" s="2" t="s">
        <v>75</v>
      </c>
      <c r="D335" s="2" t="s">
        <v>76</v>
      </c>
      <c r="E335" s="2" t="s">
        <v>77</v>
      </c>
      <c r="F335" s="2" t="s">
        <v>78</v>
      </c>
      <c r="G335" s="2" t="s">
        <v>86</v>
      </c>
      <c r="H335" s="3">
        <v>43892</v>
      </c>
      <c r="I335" s="2" t="s">
        <v>112</v>
      </c>
      <c r="J335" s="2" t="s">
        <v>40</v>
      </c>
      <c r="K335" s="4">
        <v>2020</v>
      </c>
      <c r="L335" s="4">
        <v>2.6120000000000001</v>
      </c>
      <c r="M335" s="4" t="s">
        <v>80</v>
      </c>
      <c r="N335" s="4" t="s">
        <v>54</v>
      </c>
      <c r="O335" s="4" t="s">
        <v>602</v>
      </c>
      <c r="P335" s="4">
        <v>54.851999999999997</v>
      </c>
      <c r="Q335" s="12" t="s">
        <v>603</v>
      </c>
      <c r="R335" s="4" t="s">
        <v>604</v>
      </c>
      <c r="S335" s="4">
        <v>804.49599999999998</v>
      </c>
      <c r="T335" s="4">
        <v>511.952</v>
      </c>
    </row>
    <row r="336" spans="1:20" ht="15" thickBot="1" x14ac:dyDescent="0.35">
      <c r="A336" s="2" t="s">
        <v>49</v>
      </c>
      <c r="B336" s="2" t="s">
        <v>59</v>
      </c>
      <c r="C336" s="2" t="s">
        <v>120</v>
      </c>
      <c r="D336" s="2" t="s">
        <v>369</v>
      </c>
      <c r="E336" s="2" t="s">
        <v>122</v>
      </c>
      <c r="F336" s="2" t="s">
        <v>249</v>
      </c>
      <c r="G336" s="2" t="s">
        <v>86</v>
      </c>
      <c r="H336" s="3">
        <v>43840</v>
      </c>
      <c r="I336" s="2" t="s">
        <v>39</v>
      </c>
      <c r="J336" s="2" t="s">
        <v>40</v>
      </c>
      <c r="K336" s="4">
        <v>2020</v>
      </c>
      <c r="L336" s="4">
        <v>2.238</v>
      </c>
      <c r="M336" s="4" t="s">
        <v>124</v>
      </c>
      <c r="N336" s="4" t="s">
        <v>54</v>
      </c>
      <c r="O336" s="4" t="s">
        <v>605</v>
      </c>
      <c r="P336" s="4">
        <v>46.997999999999998</v>
      </c>
      <c r="Q336" s="12" t="s">
        <v>606</v>
      </c>
      <c r="R336" s="4" t="s">
        <v>607</v>
      </c>
      <c r="S336" s="4">
        <v>716.16</v>
      </c>
      <c r="T336" s="4">
        <v>411.79199999999997</v>
      </c>
    </row>
    <row r="337" spans="1:20" ht="15" thickBot="1" x14ac:dyDescent="0.35">
      <c r="A337" s="2" t="s">
        <v>20</v>
      </c>
      <c r="B337" s="2" t="s">
        <v>50</v>
      </c>
      <c r="C337" s="2" t="s">
        <v>120</v>
      </c>
      <c r="D337" s="2" t="s">
        <v>366</v>
      </c>
      <c r="E337" s="2" t="s">
        <v>122</v>
      </c>
      <c r="F337" s="2" t="s">
        <v>367</v>
      </c>
      <c r="G337" s="2" t="s">
        <v>86</v>
      </c>
      <c r="H337" s="3">
        <v>44329</v>
      </c>
      <c r="I337" s="2" t="s">
        <v>142</v>
      </c>
      <c r="J337" s="2" t="s">
        <v>92</v>
      </c>
      <c r="K337" s="4">
        <v>2021</v>
      </c>
      <c r="L337" s="4">
        <v>1.2889999999999999</v>
      </c>
      <c r="M337" s="4" t="s">
        <v>124</v>
      </c>
      <c r="N337" s="4" t="s">
        <v>30</v>
      </c>
      <c r="O337" s="4">
        <v>242.33199999999999</v>
      </c>
      <c r="P337" s="4">
        <v>9.6929999999999996</v>
      </c>
      <c r="Q337" s="12">
        <v>232.63900000000001</v>
      </c>
      <c r="R337" s="4" t="s">
        <v>608</v>
      </c>
      <c r="S337" s="4">
        <v>412.48</v>
      </c>
      <c r="T337" s="4">
        <v>-179.84100000000001</v>
      </c>
    </row>
    <row r="338" spans="1:20" ht="15" thickBot="1" x14ac:dyDescent="0.35">
      <c r="A338" s="2" t="s">
        <v>49</v>
      </c>
      <c r="B338" s="2" t="s">
        <v>44</v>
      </c>
      <c r="C338" s="2" t="s">
        <v>120</v>
      </c>
      <c r="D338" s="2" t="s">
        <v>176</v>
      </c>
      <c r="E338" s="2" t="s">
        <v>122</v>
      </c>
      <c r="F338" s="2" t="s">
        <v>177</v>
      </c>
      <c r="G338" s="2" t="s">
        <v>86</v>
      </c>
      <c r="H338" s="3">
        <v>44175</v>
      </c>
      <c r="I338" s="2" t="s">
        <v>100</v>
      </c>
      <c r="J338" s="2" t="s">
        <v>96</v>
      </c>
      <c r="K338" s="4">
        <v>2020</v>
      </c>
      <c r="L338" s="4">
        <v>2.2879999999999998</v>
      </c>
      <c r="M338" s="4" t="s">
        <v>124</v>
      </c>
      <c r="N338" s="4" t="s">
        <v>54</v>
      </c>
      <c r="O338" s="4" t="s">
        <v>609</v>
      </c>
      <c r="P338" s="4">
        <v>48.048000000000002</v>
      </c>
      <c r="Q338" s="12" t="s">
        <v>610</v>
      </c>
      <c r="R338" s="4" t="s">
        <v>611</v>
      </c>
      <c r="S338" s="4">
        <v>732.16</v>
      </c>
      <c r="T338" s="4">
        <v>420.99200000000002</v>
      </c>
    </row>
    <row r="339" spans="1:20" ht="15" thickBot="1" x14ac:dyDescent="0.35">
      <c r="A339" s="2" t="s">
        <v>49</v>
      </c>
      <c r="B339" s="2" t="s">
        <v>74</v>
      </c>
      <c r="C339" s="2" t="s">
        <v>35</v>
      </c>
      <c r="D339" s="2" t="s">
        <v>293</v>
      </c>
      <c r="E339" s="2" t="s">
        <v>37</v>
      </c>
      <c r="F339" s="2" t="s">
        <v>294</v>
      </c>
      <c r="G339" s="2" t="s">
        <v>217</v>
      </c>
      <c r="H339" s="3">
        <v>44293</v>
      </c>
      <c r="I339" s="2" t="s">
        <v>91</v>
      </c>
      <c r="J339" s="2" t="s">
        <v>92</v>
      </c>
      <c r="K339" s="4">
        <v>2021</v>
      </c>
      <c r="L339" s="4">
        <v>1.6459999999999999</v>
      </c>
      <c r="M339" s="4" t="s">
        <v>41</v>
      </c>
      <c r="N339" s="4" t="s">
        <v>116</v>
      </c>
      <c r="O339" s="4">
        <v>18.106000000000002</v>
      </c>
      <c r="P339" s="4">
        <v>905</v>
      </c>
      <c r="Q339" s="12">
        <v>17.201000000000001</v>
      </c>
      <c r="R339" s="6">
        <v>46000</v>
      </c>
      <c r="S339" s="4">
        <v>19.751999999999999</v>
      </c>
      <c r="T339" s="4">
        <v>-2.5510000000000002</v>
      </c>
    </row>
    <row r="340" spans="1:20" ht="15" thickBot="1" x14ac:dyDescent="0.35">
      <c r="A340" s="2" t="s">
        <v>49</v>
      </c>
      <c r="B340" s="2" t="s">
        <v>74</v>
      </c>
      <c r="C340" s="2" t="s">
        <v>35</v>
      </c>
      <c r="D340" s="2" t="s">
        <v>191</v>
      </c>
      <c r="E340" s="2" t="s">
        <v>37</v>
      </c>
      <c r="F340" s="2" t="s">
        <v>192</v>
      </c>
      <c r="G340" s="2" t="s">
        <v>217</v>
      </c>
      <c r="H340" s="3">
        <v>44230</v>
      </c>
      <c r="I340" s="2" t="s">
        <v>79</v>
      </c>
      <c r="J340" s="2" t="s">
        <v>40</v>
      </c>
      <c r="K340" s="4">
        <v>2021</v>
      </c>
      <c r="L340" s="4">
        <v>3.2269999999999999</v>
      </c>
      <c r="M340" s="4" t="s">
        <v>41</v>
      </c>
      <c r="N340" s="4" t="s">
        <v>116</v>
      </c>
      <c r="O340" s="4">
        <v>35.497</v>
      </c>
      <c r="P340" s="4">
        <v>1.7749999999999999</v>
      </c>
      <c r="Q340" s="12">
        <v>33.722000000000001</v>
      </c>
      <c r="R340" s="4" t="s">
        <v>612</v>
      </c>
      <c r="S340" s="4">
        <v>38.723999999999997</v>
      </c>
      <c r="T340" s="4">
        <v>-5.0019999999999998</v>
      </c>
    </row>
    <row r="341" spans="1:20" ht="29.4" thickBot="1" x14ac:dyDescent="0.35">
      <c r="A341" s="2" t="s">
        <v>58</v>
      </c>
      <c r="B341" s="2" t="s">
        <v>50</v>
      </c>
      <c r="C341" s="2" t="s">
        <v>35</v>
      </c>
      <c r="D341" s="2" t="s">
        <v>255</v>
      </c>
      <c r="E341" s="2" t="s">
        <v>37</v>
      </c>
      <c r="F341" s="2" t="s">
        <v>198</v>
      </c>
      <c r="G341" s="2" t="s">
        <v>217</v>
      </c>
      <c r="H341" s="3">
        <v>44540</v>
      </c>
      <c r="I341" s="2" t="s">
        <v>100</v>
      </c>
      <c r="J341" s="2" t="s">
        <v>96</v>
      </c>
      <c r="K341" s="4">
        <v>2021</v>
      </c>
      <c r="L341" s="4">
        <v>2.9169999999999998</v>
      </c>
      <c r="M341" s="4" t="s">
        <v>41</v>
      </c>
      <c r="N341" s="4" t="s">
        <v>63</v>
      </c>
      <c r="O341" s="4">
        <v>52.506</v>
      </c>
      <c r="P341" s="4">
        <v>2.625</v>
      </c>
      <c r="Q341" s="12">
        <v>49.881</v>
      </c>
      <c r="R341" s="4" t="s">
        <v>613</v>
      </c>
      <c r="S341" s="4">
        <v>35.003999999999998</v>
      </c>
      <c r="T341" s="4">
        <v>14.877000000000001</v>
      </c>
    </row>
    <row r="342" spans="1:20" ht="29.4" thickBot="1" x14ac:dyDescent="0.35">
      <c r="A342" s="2" t="s">
        <v>58</v>
      </c>
      <c r="B342" s="2" t="s">
        <v>59</v>
      </c>
      <c r="C342" s="2" t="s">
        <v>69</v>
      </c>
      <c r="D342" s="2" t="s">
        <v>614</v>
      </c>
      <c r="E342" s="2" t="s">
        <v>71</v>
      </c>
      <c r="F342" s="2" t="s">
        <v>338</v>
      </c>
      <c r="G342" s="2" t="s">
        <v>217</v>
      </c>
      <c r="H342" s="3">
        <v>44508</v>
      </c>
      <c r="I342" s="2" t="s">
        <v>95</v>
      </c>
      <c r="J342" s="2" t="s">
        <v>96</v>
      </c>
      <c r="K342" s="4">
        <v>2021</v>
      </c>
      <c r="L342" s="4">
        <v>2.9169999999999998</v>
      </c>
      <c r="M342" s="4" t="s">
        <v>73</v>
      </c>
      <c r="N342" s="4" t="s">
        <v>63</v>
      </c>
      <c r="O342" s="4">
        <v>52.506</v>
      </c>
      <c r="P342" s="4">
        <v>2.625</v>
      </c>
      <c r="Q342" s="12">
        <v>49.881</v>
      </c>
      <c r="R342" s="4" t="s">
        <v>613</v>
      </c>
      <c r="S342" s="4">
        <v>431.71600000000001</v>
      </c>
      <c r="T342" s="4">
        <v>-381.83499999999998</v>
      </c>
    </row>
    <row r="343" spans="1:20" ht="15" thickBot="1" x14ac:dyDescent="0.35">
      <c r="A343" s="2" t="s">
        <v>49</v>
      </c>
      <c r="B343" s="2" t="s">
        <v>34</v>
      </c>
      <c r="C343" s="2" t="s">
        <v>75</v>
      </c>
      <c r="D343" s="2" t="s">
        <v>171</v>
      </c>
      <c r="E343" s="2" t="s">
        <v>77</v>
      </c>
      <c r="F343" s="2" t="s">
        <v>172</v>
      </c>
      <c r="G343" s="2" t="s">
        <v>217</v>
      </c>
      <c r="H343" s="3">
        <v>44026</v>
      </c>
      <c r="I343" s="2" t="s">
        <v>62</v>
      </c>
      <c r="J343" s="2" t="s">
        <v>28</v>
      </c>
      <c r="K343" s="4">
        <v>2020</v>
      </c>
      <c r="L343" s="4">
        <v>3.2269999999999999</v>
      </c>
      <c r="M343" s="4" t="s">
        <v>80</v>
      </c>
      <c r="N343" s="4" t="s">
        <v>116</v>
      </c>
      <c r="O343" s="4">
        <v>35.497</v>
      </c>
      <c r="P343" s="4">
        <v>1.7749999999999999</v>
      </c>
      <c r="Q343" s="12">
        <v>33.722000000000001</v>
      </c>
      <c r="R343" s="4" t="s">
        <v>612</v>
      </c>
      <c r="S343" s="4">
        <v>993.91600000000005</v>
      </c>
      <c r="T343" s="4">
        <v>-960.19399999999996</v>
      </c>
    </row>
    <row r="344" spans="1:20" ht="15" thickBot="1" x14ac:dyDescent="0.35">
      <c r="A344" s="2" t="s">
        <v>49</v>
      </c>
      <c r="B344" s="2" t="s">
        <v>59</v>
      </c>
      <c r="C344" s="2" t="s">
        <v>120</v>
      </c>
      <c r="D344" s="2" t="s">
        <v>369</v>
      </c>
      <c r="E344" s="2" t="s">
        <v>122</v>
      </c>
      <c r="F344" s="2" t="s">
        <v>249</v>
      </c>
      <c r="G344" s="2" t="s">
        <v>217</v>
      </c>
      <c r="H344" s="3">
        <v>44212</v>
      </c>
      <c r="I344" s="2" t="s">
        <v>39</v>
      </c>
      <c r="J344" s="2" t="s">
        <v>40</v>
      </c>
      <c r="K344" s="4">
        <v>2021</v>
      </c>
      <c r="L344" s="4">
        <v>2.02</v>
      </c>
      <c r="M344" s="4" t="s">
        <v>124</v>
      </c>
      <c r="N344" s="4" t="s">
        <v>116</v>
      </c>
      <c r="O344" s="4">
        <v>22.22</v>
      </c>
      <c r="P344" s="4">
        <v>1.111</v>
      </c>
      <c r="Q344" s="12">
        <v>21.109000000000002</v>
      </c>
      <c r="R344" s="5">
        <v>43770</v>
      </c>
      <c r="S344" s="4">
        <v>646.4</v>
      </c>
      <c r="T344" s="4">
        <v>-625.29100000000005</v>
      </c>
    </row>
    <row r="345" spans="1:20" ht="29.4" thickBot="1" x14ac:dyDescent="0.35">
      <c r="A345" s="2" t="s">
        <v>58</v>
      </c>
      <c r="B345" s="2" t="s">
        <v>50</v>
      </c>
      <c r="C345" s="2" t="s">
        <v>120</v>
      </c>
      <c r="D345" s="2" t="s">
        <v>312</v>
      </c>
      <c r="E345" s="2" t="s">
        <v>122</v>
      </c>
      <c r="F345" s="2" t="s">
        <v>313</v>
      </c>
      <c r="G345" s="2" t="s">
        <v>217</v>
      </c>
      <c r="H345" s="3">
        <v>44197</v>
      </c>
      <c r="I345" s="2" t="s">
        <v>39</v>
      </c>
      <c r="J345" s="2" t="s">
        <v>40</v>
      </c>
      <c r="K345" s="4">
        <v>2021</v>
      </c>
      <c r="L345" s="4">
        <v>1.3480000000000001</v>
      </c>
      <c r="M345" s="4" t="s">
        <v>124</v>
      </c>
      <c r="N345" s="4" t="s">
        <v>63</v>
      </c>
      <c r="O345" s="4">
        <v>24.263999999999999</v>
      </c>
      <c r="P345" s="4">
        <v>1.2130000000000001</v>
      </c>
      <c r="Q345" s="12">
        <v>23.050999999999998</v>
      </c>
      <c r="R345" s="5">
        <v>29556</v>
      </c>
      <c r="S345" s="4">
        <v>431.36</v>
      </c>
      <c r="T345" s="4">
        <v>-408.30900000000003</v>
      </c>
    </row>
    <row r="346" spans="1:20" ht="29.4" thickBot="1" x14ac:dyDescent="0.35">
      <c r="A346" s="2" t="s">
        <v>58</v>
      </c>
      <c r="B346" s="2" t="s">
        <v>74</v>
      </c>
      <c r="C346" s="2" t="s">
        <v>82</v>
      </c>
      <c r="D346" s="2" t="s">
        <v>351</v>
      </c>
      <c r="E346" s="2" t="s">
        <v>84</v>
      </c>
      <c r="F346" s="2" t="s">
        <v>352</v>
      </c>
      <c r="G346" s="2" t="s">
        <v>217</v>
      </c>
      <c r="H346" s="3">
        <v>44209</v>
      </c>
      <c r="I346" s="2" t="s">
        <v>39</v>
      </c>
      <c r="J346" s="2" t="s">
        <v>40</v>
      </c>
      <c r="K346" s="4">
        <v>2021</v>
      </c>
      <c r="L346" s="4">
        <v>2.238</v>
      </c>
      <c r="M346" s="4" t="s">
        <v>87</v>
      </c>
      <c r="N346" s="4" t="s">
        <v>63</v>
      </c>
      <c r="O346" s="4">
        <v>40.283999999999999</v>
      </c>
      <c r="P346" s="4">
        <v>2.0139999999999998</v>
      </c>
      <c r="Q346" s="12">
        <v>38.270000000000003</v>
      </c>
      <c r="R346" s="4" t="s">
        <v>615</v>
      </c>
      <c r="S346" s="4">
        <v>8.952</v>
      </c>
      <c r="T346" s="4">
        <v>29.318000000000001</v>
      </c>
    </row>
    <row r="347" spans="1:20" ht="29.4" thickBot="1" x14ac:dyDescent="0.35">
      <c r="A347" s="2" t="s">
        <v>58</v>
      </c>
      <c r="B347" s="2" t="s">
        <v>34</v>
      </c>
      <c r="C347" s="2" t="s">
        <v>82</v>
      </c>
      <c r="D347" s="2" t="s">
        <v>89</v>
      </c>
      <c r="E347" s="2" t="s">
        <v>84</v>
      </c>
      <c r="F347" s="2" t="s">
        <v>90</v>
      </c>
      <c r="G347" s="2" t="s">
        <v>217</v>
      </c>
      <c r="H347" s="3">
        <v>43980</v>
      </c>
      <c r="I347" s="2" t="s">
        <v>142</v>
      </c>
      <c r="J347" s="2" t="s">
        <v>92</v>
      </c>
      <c r="K347" s="4">
        <v>2020</v>
      </c>
      <c r="L347" s="4">
        <v>1.339</v>
      </c>
      <c r="M347" s="4" t="s">
        <v>87</v>
      </c>
      <c r="N347" s="4" t="s">
        <v>63</v>
      </c>
      <c r="O347" s="4">
        <v>24.102</v>
      </c>
      <c r="P347" s="4">
        <v>1.2050000000000001</v>
      </c>
      <c r="Q347" s="12">
        <v>22.896999999999998</v>
      </c>
      <c r="R347" s="5">
        <v>26634</v>
      </c>
      <c r="S347" s="4">
        <v>5.3559999999999999</v>
      </c>
      <c r="T347" s="4">
        <v>17.541</v>
      </c>
    </row>
    <row r="348" spans="1:20" ht="15" thickBot="1" x14ac:dyDescent="0.35">
      <c r="A348" s="2" t="s">
        <v>49</v>
      </c>
      <c r="B348" s="2" t="s">
        <v>59</v>
      </c>
      <c r="C348" s="2" t="s">
        <v>82</v>
      </c>
      <c r="D348" s="2" t="s">
        <v>131</v>
      </c>
      <c r="E348" s="2" t="s">
        <v>84</v>
      </c>
      <c r="F348" s="2" t="s">
        <v>132</v>
      </c>
      <c r="G348" s="2" t="s">
        <v>217</v>
      </c>
      <c r="H348" s="3">
        <v>44052</v>
      </c>
      <c r="I348" s="2" t="s">
        <v>53</v>
      </c>
      <c r="J348" s="2" t="s">
        <v>28</v>
      </c>
      <c r="K348" s="4">
        <v>2020</v>
      </c>
      <c r="L348" s="4">
        <v>1.8759999999999999</v>
      </c>
      <c r="M348" s="4" t="s">
        <v>87</v>
      </c>
      <c r="N348" s="4" t="s">
        <v>165</v>
      </c>
      <c r="O348" s="4">
        <v>56.28</v>
      </c>
      <c r="P348" s="4">
        <v>2.8140000000000001</v>
      </c>
      <c r="Q348" s="12">
        <v>53.466000000000001</v>
      </c>
      <c r="R348" s="4" t="s">
        <v>616</v>
      </c>
      <c r="S348" s="4">
        <v>7.5039999999999996</v>
      </c>
      <c r="T348" s="4">
        <v>45.962000000000003</v>
      </c>
    </row>
    <row r="349" spans="1:20" ht="29.4" thickBot="1" x14ac:dyDescent="0.35">
      <c r="A349" s="2" t="s">
        <v>43</v>
      </c>
      <c r="B349" s="2" t="s">
        <v>64</v>
      </c>
      <c r="C349" s="2" t="s">
        <v>82</v>
      </c>
      <c r="D349" s="2" t="s">
        <v>617</v>
      </c>
      <c r="E349" s="2" t="s">
        <v>84</v>
      </c>
      <c r="F349" s="2" t="s">
        <v>225</v>
      </c>
      <c r="G349" s="2" t="s">
        <v>217</v>
      </c>
      <c r="H349" s="3">
        <v>44553</v>
      </c>
      <c r="I349" s="2" t="s">
        <v>100</v>
      </c>
      <c r="J349" s="2" t="s">
        <v>96</v>
      </c>
      <c r="K349" s="4">
        <v>2021</v>
      </c>
      <c r="L349" s="4">
        <v>1.1890000000000001</v>
      </c>
      <c r="M349" s="4" t="s">
        <v>87</v>
      </c>
      <c r="N349" s="4" t="s">
        <v>47</v>
      </c>
      <c r="O349" s="4">
        <v>535.04999999999995</v>
      </c>
      <c r="P349" s="4">
        <v>26.753</v>
      </c>
      <c r="Q349" s="12">
        <v>508.298</v>
      </c>
      <c r="R349" s="4" t="s">
        <v>618</v>
      </c>
      <c r="S349" s="4">
        <v>4.7560000000000002</v>
      </c>
      <c r="T349" s="4">
        <v>503.54199999999997</v>
      </c>
    </row>
    <row r="350" spans="1:20" ht="15" thickBot="1" x14ac:dyDescent="0.35">
      <c r="A350" s="2" t="s">
        <v>33</v>
      </c>
      <c r="B350" s="2" t="s">
        <v>50</v>
      </c>
      <c r="C350" s="2" t="s">
        <v>82</v>
      </c>
      <c r="D350" s="2" t="s">
        <v>437</v>
      </c>
      <c r="E350" s="2" t="s">
        <v>84</v>
      </c>
      <c r="F350" s="2" t="s">
        <v>335</v>
      </c>
      <c r="G350" s="2" t="s">
        <v>217</v>
      </c>
      <c r="H350" s="3">
        <v>44080</v>
      </c>
      <c r="I350" s="2" t="s">
        <v>27</v>
      </c>
      <c r="J350" s="2" t="s">
        <v>28</v>
      </c>
      <c r="K350" s="4">
        <v>2020</v>
      </c>
      <c r="L350" s="4">
        <v>3.3490000000000002</v>
      </c>
      <c r="M350" s="4" t="s">
        <v>87</v>
      </c>
      <c r="N350" s="4" t="s">
        <v>42</v>
      </c>
      <c r="O350" s="4">
        <v>77.027000000000001</v>
      </c>
      <c r="P350" s="4">
        <v>3.851</v>
      </c>
      <c r="Q350" s="12">
        <v>73.176000000000002</v>
      </c>
      <c r="R350" s="4" t="s">
        <v>619</v>
      </c>
      <c r="S350" s="4">
        <v>13.396000000000001</v>
      </c>
      <c r="T350" s="4">
        <v>59.78</v>
      </c>
    </row>
    <row r="351" spans="1:20" ht="15" thickBot="1" x14ac:dyDescent="0.35">
      <c r="A351" s="2" t="s">
        <v>49</v>
      </c>
      <c r="B351" s="2" t="s">
        <v>21</v>
      </c>
      <c r="C351" s="2" t="s">
        <v>82</v>
      </c>
      <c r="D351" s="2" t="s">
        <v>248</v>
      </c>
      <c r="E351" s="2" t="s">
        <v>84</v>
      </c>
      <c r="F351" s="2" t="s">
        <v>249</v>
      </c>
      <c r="G351" s="2" t="s">
        <v>217</v>
      </c>
      <c r="H351" s="3">
        <v>43926</v>
      </c>
      <c r="I351" s="2" t="s">
        <v>91</v>
      </c>
      <c r="J351" s="2" t="s">
        <v>92</v>
      </c>
      <c r="K351" s="4">
        <v>2020</v>
      </c>
      <c r="L351" s="4">
        <v>684</v>
      </c>
      <c r="M351" s="4" t="s">
        <v>87</v>
      </c>
      <c r="N351" s="4" t="s">
        <v>116</v>
      </c>
      <c r="O351" s="4">
        <v>7.524</v>
      </c>
      <c r="P351" s="4">
        <v>376</v>
      </c>
      <c r="Q351" s="12">
        <v>7.1479999999999997</v>
      </c>
      <c r="R351" s="5">
        <v>28915</v>
      </c>
      <c r="S351" s="4">
        <v>2.7360000000000002</v>
      </c>
      <c r="T351" s="4">
        <v>4.4119999999999999</v>
      </c>
    </row>
    <row r="352" spans="1:20" ht="15" thickBot="1" x14ac:dyDescent="0.35">
      <c r="A352" s="2" t="s">
        <v>49</v>
      </c>
      <c r="B352" s="2" t="s">
        <v>59</v>
      </c>
      <c r="C352" s="2" t="s">
        <v>82</v>
      </c>
      <c r="D352" s="2" t="s">
        <v>131</v>
      </c>
      <c r="E352" s="2" t="s">
        <v>84</v>
      </c>
      <c r="F352" s="2" t="s">
        <v>132</v>
      </c>
      <c r="G352" s="2" t="s">
        <v>217</v>
      </c>
      <c r="H352" s="3">
        <v>44416</v>
      </c>
      <c r="I352" s="2" t="s">
        <v>53</v>
      </c>
      <c r="J352" s="2" t="s">
        <v>28</v>
      </c>
      <c r="K352" s="4">
        <v>2021</v>
      </c>
      <c r="L352" s="4">
        <v>2.984</v>
      </c>
      <c r="M352" s="4" t="s">
        <v>87</v>
      </c>
      <c r="N352" s="4" t="s">
        <v>116</v>
      </c>
      <c r="O352" s="4">
        <v>32.823999999999998</v>
      </c>
      <c r="P352" s="4">
        <v>1.641</v>
      </c>
      <c r="Q352" s="12">
        <v>31.183</v>
      </c>
      <c r="R352" s="4" t="s">
        <v>620</v>
      </c>
      <c r="S352" s="4">
        <v>11.936</v>
      </c>
      <c r="T352" s="4">
        <v>19.247</v>
      </c>
    </row>
    <row r="353" spans="1:20" ht="15" thickBot="1" x14ac:dyDescent="0.35">
      <c r="A353" s="2" t="s">
        <v>49</v>
      </c>
      <c r="B353" s="2" t="s">
        <v>44</v>
      </c>
      <c r="C353" s="2" t="s">
        <v>22</v>
      </c>
      <c r="D353" s="2" t="s">
        <v>253</v>
      </c>
      <c r="E353" s="2" t="s">
        <v>24</v>
      </c>
      <c r="F353" s="2" t="s">
        <v>254</v>
      </c>
      <c r="G353" s="2" t="s">
        <v>217</v>
      </c>
      <c r="H353" s="3">
        <v>44006</v>
      </c>
      <c r="I353" s="2" t="s">
        <v>205</v>
      </c>
      <c r="J353" s="2" t="s">
        <v>92</v>
      </c>
      <c r="K353" s="4">
        <v>2020</v>
      </c>
      <c r="L353" s="4">
        <v>1.661</v>
      </c>
      <c r="M353" s="4" t="s">
        <v>29</v>
      </c>
      <c r="N353" s="4" t="s">
        <v>54</v>
      </c>
      <c r="O353" s="4">
        <v>872.02499999999998</v>
      </c>
      <c r="P353" s="4">
        <v>43.600999999999999</v>
      </c>
      <c r="Q353" s="12">
        <v>828.42399999999998</v>
      </c>
      <c r="R353" s="4" t="s">
        <v>621</v>
      </c>
      <c r="S353" s="4">
        <v>9.9659999999999993</v>
      </c>
      <c r="T353" s="4">
        <v>818.45799999999997</v>
      </c>
    </row>
    <row r="354" spans="1:20" ht="15" thickBot="1" x14ac:dyDescent="0.35">
      <c r="A354" s="2" t="s">
        <v>20</v>
      </c>
      <c r="B354" s="2" t="s">
        <v>59</v>
      </c>
      <c r="C354" s="2" t="s">
        <v>22</v>
      </c>
      <c r="D354" s="2" t="s">
        <v>105</v>
      </c>
      <c r="E354" s="2" t="s">
        <v>24</v>
      </c>
      <c r="F354" s="2" t="s">
        <v>106</v>
      </c>
      <c r="G354" s="2" t="s">
        <v>217</v>
      </c>
      <c r="H354" s="3">
        <v>43988</v>
      </c>
      <c r="I354" s="2" t="s">
        <v>205</v>
      </c>
      <c r="J354" s="2" t="s">
        <v>92</v>
      </c>
      <c r="K354" s="4">
        <v>2020</v>
      </c>
      <c r="L354" s="4">
        <v>4.3520000000000003</v>
      </c>
      <c r="M354" s="4" t="s">
        <v>29</v>
      </c>
      <c r="N354" s="4" t="s">
        <v>30</v>
      </c>
      <c r="O354" s="4">
        <v>818.17600000000004</v>
      </c>
      <c r="P354" s="4">
        <v>40.908999999999999</v>
      </c>
      <c r="Q354" s="12">
        <v>777.26700000000005</v>
      </c>
      <c r="R354" s="4" t="s">
        <v>622</v>
      </c>
      <c r="S354" s="4">
        <v>26.111999999999998</v>
      </c>
      <c r="T354" s="4">
        <v>751.15499999999997</v>
      </c>
    </row>
    <row r="355" spans="1:20" ht="29.4" thickBot="1" x14ac:dyDescent="0.35">
      <c r="A355" s="2" t="s">
        <v>58</v>
      </c>
      <c r="B355" s="2" t="s">
        <v>68</v>
      </c>
      <c r="C355" s="2" t="s">
        <v>22</v>
      </c>
      <c r="D355" s="2" t="s">
        <v>445</v>
      </c>
      <c r="E355" s="2" t="s">
        <v>24</v>
      </c>
      <c r="F355" s="2" t="s">
        <v>230</v>
      </c>
      <c r="G355" s="2" t="s">
        <v>217</v>
      </c>
      <c r="H355" s="3">
        <v>44067</v>
      </c>
      <c r="I355" s="2" t="s">
        <v>53</v>
      </c>
      <c r="J355" s="2" t="s">
        <v>28</v>
      </c>
      <c r="K355" s="4">
        <v>2020</v>
      </c>
      <c r="L355" s="4">
        <v>2.81</v>
      </c>
      <c r="M355" s="4" t="s">
        <v>29</v>
      </c>
      <c r="N355" s="4" t="s">
        <v>63</v>
      </c>
      <c r="O355" s="4">
        <v>50.58</v>
      </c>
      <c r="P355" s="4">
        <v>2.5289999999999999</v>
      </c>
      <c r="Q355" s="12">
        <v>48.051000000000002</v>
      </c>
      <c r="R355" s="4" t="s">
        <v>623</v>
      </c>
      <c r="S355" s="4">
        <v>16.86</v>
      </c>
      <c r="T355" s="4">
        <v>31.190999999999999</v>
      </c>
    </row>
    <row r="356" spans="1:20" ht="15" thickBot="1" x14ac:dyDescent="0.35">
      <c r="A356" s="2" t="s">
        <v>49</v>
      </c>
      <c r="B356" s="2" t="s">
        <v>50</v>
      </c>
      <c r="C356" s="2" t="s">
        <v>35</v>
      </c>
      <c r="D356" s="2" t="s">
        <v>233</v>
      </c>
      <c r="E356" s="2" t="s">
        <v>37</v>
      </c>
      <c r="F356" s="2" t="s">
        <v>234</v>
      </c>
      <c r="G356" s="2" t="s">
        <v>217</v>
      </c>
      <c r="H356" s="3">
        <v>44523</v>
      </c>
      <c r="I356" s="2" t="s">
        <v>95</v>
      </c>
      <c r="J356" s="2" t="s">
        <v>96</v>
      </c>
      <c r="K356" s="4">
        <v>2021</v>
      </c>
      <c r="L356" s="4">
        <v>1.5640000000000001</v>
      </c>
      <c r="M356" s="4" t="s">
        <v>41</v>
      </c>
      <c r="N356" s="4" t="s">
        <v>165</v>
      </c>
      <c r="O356" s="4">
        <v>46.92</v>
      </c>
      <c r="P356" s="4">
        <v>2.3460000000000001</v>
      </c>
      <c r="Q356" s="12">
        <v>44.573999999999998</v>
      </c>
      <c r="R356" s="4" t="s">
        <v>624</v>
      </c>
      <c r="S356" s="4">
        <v>18.768000000000001</v>
      </c>
      <c r="T356" s="4">
        <v>25.806000000000001</v>
      </c>
    </row>
    <row r="357" spans="1:20" ht="15" thickBot="1" x14ac:dyDescent="0.35">
      <c r="A357" s="2" t="s">
        <v>20</v>
      </c>
      <c r="B357" s="2" t="s">
        <v>44</v>
      </c>
      <c r="C357" s="2" t="s">
        <v>35</v>
      </c>
      <c r="D357" s="2" t="s">
        <v>490</v>
      </c>
      <c r="E357" s="2" t="s">
        <v>37</v>
      </c>
      <c r="F357" s="2" t="s">
        <v>362</v>
      </c>
      <c r="G357" s="2" t="s">
        <v>217</v>
      </c>
      <c r="H357" s="3">
        <v>44332</v>
      </c>
      <c r="I357" s="2" t="s">
        <v>142</v>
      </c>
      <c r="J357" s="2" t="s">
        <v>92</v>
      </c>
      <c r="K357" s="4">
        <v>2021</v>
      </c>
      <c r="L357" s="4">
        <v>3.59</v>
      </c>
      <c r="M357" s="4" t="s">
        <v>41</v>
      </c>
      <c r="N357" s="4" t="s">
        <v>30</v>
      </c>
      <c r="O357" s="4">
        <v>674.92</v>
      </c>
      <c r="P357" s="4">
        <v>33.746000000000002</v>
      </c>
      <c r="Q357" s="12">
        <v>641.17399999999998</v>
      </c>
      <c r="R357" s="4" t="s">
        <v>625</v>
      </c>
      <c r="S357" s="4">
        <v>43.08</v>
      </c>
      <c r="T357" s="4">
        <v>598.09400000000005</v>
      </c>
    </row>
    <row r="358" spans="1:20" ht="15" thickBot="1" x14ac:dyDescent="0.35">
      <c r="A358" s="2" t="s">
        <v>20</v>
      </c>
      <c r="B358" s="2" t="s">
        <v>44</v>
      </c>
      <c r="C358" s="2" t="s">
        <v>35</v>
      </c>
      <c r="D358" s="2" t="s">
        <v>229</v>
      </c>
      <c r="E358" s="2" t="s">
        <v>37</v>
      </c>
      <c r="F358" s="2" t="s">
        <v>230</v>
      </c>
      <c r="G358" s="2" t="s">
        <v>217</v>
      </c>
      <c r="H358" s="3">
        <v>43843</v>
      </c>
      <c r="I358" s="2" t="s">
        <v>39</v>
      </c>
      <c r="J358" s="2" t="s">
        <v>40</v>
      </c>
      <c r="K358" s="4">
        <v>2020</v>
      </c>
      <c r="L358" s="4">
        <v>2.8620000000000001</v>
      </c>
      <c r="M358" s="4" t="s">
        <v>41</v>
      </c>
      <c r="N358" s="4" t="s">
        <v>30</v>
      </c>
      <c r="O358" s="4">
        <v>538.05600000000004</v>
      </c>
      <c r="P358" s="4">
        <v>26.902999999999999</v>
      </c>
      <c r="Q358" s="12">
        <v>511.15300000000002</v>
      </c>
      <c r="R358" s="4" t="s">
        <v>626</v>
      </c>
      <c r="S358" s="4">
        <v>34.344000000000001</v>
      </c>
      <c r="T358" s="4">
        <v>476.80900000000003</v>
      </c>
    </row>
    <row r="359" spans="1:20" ht="29.4" thickBot="1" x14ac:dyDescent="0.35">
      <c r="A359" s="2" t="s">
        <v>43</v>
      </c>
      <c r="B359" s="2" t="s">
        <v>44</v>
      </c>
      <c r="C359" s="2" t="s">
        <v>35</v>
      </c>
      <c r="D359" s="2" t="s">
        <v>45</v>
      </c>
      <c r="E359" s="2" t="s">
        <v>37</v>
      </c>
      <c r="F359" s="2" t="s">
        <v>46</v>
      </c>
      <c r="G359" s="2" t="s">
        <v>217</v>
      </c>
      <c r="H359" s="3">
        <v>43893</v>
      </c>
      <c r="I359" s="2" t="s">
        <v>112</v>
      </c>
      <c r="J359" s="2" t="s">
        <v>40</v>
      </c>
      <c r="K359" s="4">
        <v>2020</v>
      </c>
      <c r="L359" s="4">
        <v>1.9279999999999999</v>
      </c>
      <c r="M359" s="4" t="s">
        <v>41</v>
      </c>
      <c r="N359" s="4" t="s">
        <v>47</v>
      </c>
      <c r="O359" s="4">
        <v>867.6</v>
      </c>
      <c r="P359" s="4">
        <v>43.38</v>
      </c>
      <c r="Q359" s="12">
        <v>824.22</v>
      </c>
      <c r="R359" s="4" t="s">
        <v>627</v>
      </c>
      <c r="S359" s="4">
        <v>23.135999999999999</v>
      </c>
      <c r="T359" s="4">
        <v>801.08399999999995</v>
      </c>
    </row>
    <row r="360" spans="1:20" ht="15" thickBot="1" x14ac:dyDescent="0.35">
      <c r="A360" s="2" t="s">
        <v>49</v>
      </c>
      <c r="B360" s="2" t="s">
        <v>44</v>
      </c>
      <c r="C360" s="2" t="s">
        <v>35</v>
      </c>
      <c r="D360" s="2" t="s">
        <v>150</v>
      </c>
      <c r="E360" s="2" t="s">
        <v>37</v>
      </c>
      <c r="F360" s="2" t="s">
        <v>151</v>
      </c>
      <c r="G360" s="2" t="s">
        <v>217</v>
      </c>
      <c r="H360" s="3">
        <v>44280</v>
      </c>
      <c r="I360" s="2" t="s">
        <v>112</v>
      </c>
      <c r="J360" s="2" t="s">
        <v>40</v>
      </c>
      <c r="K360" s="4">
        <v>2021</v>
      </c>
      <c r="L360" s="4">
        <v>2.7919999999999998</v>
      </c>
      <c r="M360" s="4" t="s">
        <v>41</v>
      </c>
      <c r="N360" s="4" t="s">
        <v>116</v>
      </c>
      <c r="O360" s="4">
        <v>30.712</v>
      </c>
      <c r="P360" s="4">
        <v>1.536</v>
      </c>
      <c r="Q360" s="12">
        <v>29.175999999999998</v>
      </c>
      <c r="R360" s="4" t="s">
        <v>628</v>
      </c>
      <c r="S360" s="4">
        <v>33.503999999999998</v>
      </c>
      <c r="T360" s="4">
        <v>-4.3280000000000003</v>
      </c>
    </row>
    <row r="361" spans="1:20" ht="29.4" thickBot="1" x14ac:dyDescent="0.35">
      <c r="A361" s="2" t="s">
        <v>43</v>
      </c>
      <c r="B361" s="2" t="s">
        <v>50</v>
      </c>
      <c r="C361" s="2" t="s">
        <v>35</v>
      </c>
      <c r="D361" s="2" t="s">
        <v>494</v>
      </c>
      <c r="E361" s="2" t="s">
        <v>37</v>
      </c>
      <c r="F361" s="2" t="s">
        <v>367</v>
      </c>
      <c r="G361" s="2" t="s">
        <v>217</v>
      </c>
      <c r="H361" s="3">
        <v>44111</v>
      </c>
      <c r="I361" s="2" t="s">
        <v>115</v>
      </c>
      <c r="J361" s="2" t="s">
        <v>96</v>
      </c>
      <c r="K361" s="4">
        <v>2020</v>
      </c>
      <c r="L361" s="4">
        <v>1.1890000000000001</v>
      </c>
      <c r="M361" s="4" t="s">
        <v>41</v>
      </c>
      <c r="N361" s="4" t="s">
        <v>47</v>
      </c>
      <c r="O361" s="4">
        <v>535.04999999999995</v>
      </c>
      <c r="P361" s="4">
        <v>26.753</v>
      </c>
      <c r="Q361" s="12">
        <v>508.298</v>
      </c>
      <c r="R361" s="4" t="s">
        <v>618</v>
      </c>
      <c r="S361" s="4">
        <v>14.268000000000001</v>
      </c>
      <c r="T361" s="4">
        <v>494.03</v>
      </c>
    </row>
    <row r="362" spans="1:20" ht="15" thickBot="1" x14ac:dyDescent="0.35">
      <c r="A362" s="2" t="s">
        <v>49</v>
      </c>
      <c r="B362" s="2" t="s">
        <v>44</v>
      </c>
      <c r="C362" s="2" t="s">
        <v>35</v>
      </c>
      <c r="D362" s="2" t="s">
        <v>150</v>
      </c>
      <c r="E362" s="2" t="s">
        <v>37</v>
      </c>
      <c r="F362" s="2" t="s">
        <v>151</v>
      </c>
      <c r="G362" s="2" t="s">
        <v>217</v>
      </c>
      <c r="H362" s="3">
        <v>44521</v>
      </c>
      <c r="I362" s="2" t="s">
        <v>95</v>
      </c>
      <c r="J362" s="2" t="s">
        <v>96</v>
      </c>
      <c r="K362" s="4">
        <v>2021</v>
      </c>
      <c r="L362" s="4">
        <v>722</v>
      </c>
      <c r="M362" s="4" t="s">
        <v>41</v>
      </c>
      <c r="N362" s="4" t="s">
        <v>54</v>
      </c>
      <c r="O362" s="4">
        <v>379.05</v>
      </c>
      <c r="P362" s="4">
        <v>18.952999999999999</v>
      </c>
      <c r="Q362" s="12">
        <v>360.09800000000001</v>
      </c>
      <c r="R362" s="4" t="s">
        <v>629</v>
      </c>
      <c r="S362" s="4">
        <v>8.6639999999999997</v>
      </c>
      <c r="T362" s="4">
        <v>351.43400000000003</v>
      </c>
    </row>
    <row r="363" spans="1:20" ht="15" thickBot="1" x14ac:dyDescent="0.35">
      <c r="A363" s="2" t="s">
        <v>33</v>
      </c>
      <c r="B363" s="2" t="s">
        <v>34</v>
      </c>
      <c r="C363" s="2" t="s">
        <v>35</v>
      </c>
      <c r="D363" s="2" t="s">
        <v>36</v>
      </c>
      <c r="E363" s="2" t="s">
        <v>37</v>
      </c>
      <c r="F363" s="2" t="s">
        <v>38</v>
      </c>
      <c r="G363" s="2" t="s">
        <v>217</v>
      </c>
      <c r="H363" s="3">
        <v>43861</v>
      </c>
      <c r="I363" s="2" t="s">
        <v>39</v>
      </c>
      <c r="J363" s="2" t="s">
        <v>40</v>
      </c>
      <c r="K363" s="4">
        <v>2020</v>
      </c>
      <c r="L363" s="4">
        <v>3.1440000000000001</v>
      </c>
      <c r="M363" s="4" t="s">
        <v>41</v>
      </c>
      <c r="N363" s="4" t="s">
        <v>42</v>
      </c>
      <c r="O363" s="4">
        <v>72.311999999999998</v>
      </c>
      <c r="P363" s="4">
        <v>3.6160000000000001</v>
      </c>
      <c r="Q363" s="12">
        <v>68.695999999999998</v>
      </c>
      <c r="R363" s="4" t="s">
        <v>630</v>
      </c>
      <c r="S363" s="4">
        <v>37.728000000000002</v>
      </c>
      <c r="T363" s="4">
        <v>30.968</v>
      </c>
    </row>
    <row r="364" spans="1:20" ht="15" thickBot="1" x14ac:dyDescent="0.35">
      <c r="A364" s="2" t="s">
        <v>20</v>
      </c>
      <c r="B364" s="2" t="s">
        <v>44</v>
      </c>
      <c r="C364" s="2" t="s">
        <v>35</v>
      </c>
      <c r="D364" s="2" t="s">
        <v>490</v>
      </c>
      <c r="E364" s="2" t="s">
        <v>37</v>
      </c>
      <c r="F364" s="2" t="s">
        <v>362</v>
      </c>
      <c r="G364" s="2" t="s">
        <v>217</v>
      </c>
      <c r="H364" s="3">
        <v>44029</v>
      </c>
      <c r="I364" s="2" t="s">
        <v>62</v>
      </c>
      <c r="J364" s="2" t="s">
        <v>28</v>
      </c>
      <c r="K364" s="4">
        <v>2020</v>
      </c>
      <c r="L364" s="4">
        <v>1.0329999999999999</v>
      </c>
      <c r="M364" s="4" t="s">
        <v>41</v>
      </c>
      <c r="N364" s="4" t="s">
        <v>30</v>
      </c>
      <c r="O364" s="4">
        <v>194.20400000000001</v>
      </c>
      <c r="P364" s="4">
        <v>9.7100000000000009</v>
      </c>
      <c r="Q364" s="12">
        <v>184.494</v>
      </c>
      <c r="R364" s="4" t="s">
        <v>631</v>
      </c>
      <c r="S364" s="4">
        <v>12.396000000000001</v>
      </c>
      <c r="T364" s="4">
        <v>172.09800000000001</v>
      </c>
    </row>
    <row r="365" spans="1:20" ht="15" thickBot="1" x14ac:dyDescent="0.35">
      <c r="A365" s="2" t="s">
        <v>49</v>
      </c>
      <c r="B365" s="2" t="s">
        <v>44</v>
      </c>
      <c r="C365" s="2" t="s">
        <v>35</v>
      </c>
      <c r="D365" s="2" t="s">
        <v>150</v>
      </c>
      <c r="E365" s="2" t="s">
        <v>37</v>
      </c>
      <c r="F365" s="2" t="s">
        <v>151</v>
      </c>
      <c r="G365" s="2" t="s">
        <v>217</v>
      </c>
      <c r="H365" s="3">
        <v>43850</v>
      </c>
      <c r="I365" s="2" t="s">
        <v>39</v>
      </c>
      <c r="J365" s="2" t="s">
        <v>40</v>
      </c>
      <c r="K365" s="4">
        <v>2020</v>
      </c>
      <c r="L365" s="4">
        <v>3.1960000000000002</v>
      </c>
      <c r="M365" s="4" t="s">
        <v>41</v>
      </c>
      <c r="N365" s="4" t="s">
        <v>165</v>
      </c>
      <c r="O365" s="4">
        <v>95.88</v>
      </c>
      <c r="P365" s="4">
        <v>4.7939999999999996</v>
      </c>
      <c r="Q365" s="12">
        <v>91.085999999999999</v>
      </c>
      <c r="R365" s="4" t="s">
        <v>632</v>
      </c>
      <c r="S365" s="4">
        <v>38.351999999999997</v>
      </c>
      <c r="T365" s="4">
        <v>52.734000000000002</v>
      </c>
    </row>
    <row r="366" spans="1:20" ht="15" thickBot="1" x14ac:dyDescent="0.35">
      <c r="A366" s="2" t="s">
        <v>33</v>
      </c>
      <c r="B366" s="2" t="s">
        <v>68</v>
      </c>
      <c r="C366" s="2" t="s">
        <v>69</v>
      </c>
      <c r="D366" s="2" t="s">
        <v>633</v>
      </c>
      <c r="E366" s="2" t="s">
        <v>71</v>
      </c>
      <c r="F366" s="2" t="s">
        <v>230</v>
      </c>
      <c r="G366" s="2" t="s">
        <v>217</v>
      </c>
      <c r="H366" s="3">
        <v>44107</v>
      </c>
      <c r="I366" s="2" t="s">
        <v>115</v>
      </c>
      <c r="J366" s="2" t="s">
        <v>96</v>
      </c>
      <c r="K366" s="4">
        <v>2020</v>
      </c>
      <c r="L366" s="4">
        <v>666</v>
      </c>
      <c r="M366" s="4" t="s">
        <v>73</v>
      </c>
      <c r="N366" s="4" t="s">
        <v>42</v>
      </c>
      <c r="O366" s="4">
        <v>15.318</v>
      </c>
      <c r="P366" s="4">
        <v>766</v>
      </c>
      <c r="Q366" s="12">
        <v>14.552</v>
      </c>
      <c r="R366" s="5">
        <v>33420</v>
      </c>
      <c r="S366" s="4">
        <v>98.567999999999998</v>
      </c>
      <c r="T366" s="4">
        <v>-84.016000000000005</v>
      </c>
    </row>
    <row r="367" spans="1:20" ht="15" thickBot="1" x14ac:dyDescent="0.35">
      <c r="A367" s="2" t="s">
        <v>33</v>
      </c>
      <c r="B367" s="2" t="s">
        <v>44</v>
      </c>
      <c r="C367" s="2" t="s">
        <v>69</v>
      </c>
      <c r="D367" s="2" t="s">
        <v>361</v>
      </c>
      <c r="E367" s="2" t="s">
        <v>71</v>
      </c>
      <c r="F367" s="2" t="s">
        <v>362</v>
      </c>
      <c r="G367" s="2" t="s">
        <v>217</v>
      </c>
      <c r="H367" s="3">
        <v>44397</v>
      </c>
      <c r="I367" s="2" t="s">
        <v>62</v>
      </c>
      <c r="J367" s="2" t="s">
        <v>28</v>
      </c>
      <c r="K367" s="4">
        <v>2021</v>
      </c>
      <c r="L367" s="4">
        <v>3.4329999999999998</v>
      </c>
      <c r="M367" s="4" t="s">
        <v>73</v>
      </c>
      <c r="N367" s="4" t="s">
        <v>42</v>
      </c>
      <c r="O367" s="4">
        <v>78.959000000000003</v>
      </c>
      <c r="P367" s="4">
        <v>3.948</v>
      </c>
      <c r="Q367" s="12">
        <v>75.010999999999996</v>
      </c>
      <c r="R367" s="4" t="s">
        <v>634</v>
      </c>
      <c r="S367" s="4">
        <v>508.084</v>
      </c>
      <c r="T367" s="4">
        <v>-433.07299999999998</v>
      </c>
    </row>
    <row r="368" spans="1:20" ht="15" thickBot="1" x14ac:dyDescent="0.35">
      <c r="A368" s="2" t="s">
        <v>20</v>
      </c>
      <c r="B368" s="2" t="s">
        <v>59</v>
      </c>
      <c r="C368" s="2" t="s">
        <v>69</v>
      </c>
      <c r="D368" s="2" t="s">
        <v>159</v>
      </c>
      <c r="E368" s="2" t="s">
        <v>71</v>
      </c>
      <c r="F368" s="2" t="s">
        <v>160</v>
      </c>
      <c r="G368" s="2" t="s">
        <v>217</v>
      </c>
      <c r="H368" s="3">
        <v>44476</v>
      </c>
      <c r="I368" s="2" t="s">
        <v>115</v>
      </c>
      <c r="J368" s="2" t="s">
        <v>96</v>
      </c>
      <c r="K368" s="4">
        <v>2021</v>
      </c>
      <c r="L368" s="4">
        <v>968</v>
      </c>
      <c r="M368" s="4" t="s">
        <v>73</v>
      </c>
      <c r="N368" s="4" t="s">
        <v>30</v>
      </c>
      <c r="O368" s="4">
        <v>181.98400000000001</v>
      </c>
      <c r="P368" s="4">
        <v>9.0990000000000002</v>
      </c>
      <c r="Q368" s="12">
        <v>172.88499999999999</v>
      </c>
      <c r="R368" s="4" t="s">
        <v>635</v>
      </c>
      <c r="S368" s="4">
        <v>143.26400000000001</v>
      </c>
      <c r="T368" s="4">
        <v>29.620999999999999</v>
      </c>
    </row>
    <row r="369" spans="1:20" ht="15" thickBot="1" x14ac:dyDescent="0.35">
      <c r="A369" s="2" t="s">
        <v>49</v>
      </c>
      <c r="B369" s="2" t="s">
        <v>21</v>
      </c>
      <c r="C369" s="2" t="s">
        <v>69</v>
      </c>
      <c r="D369" s="2" t="s">
        <v>194</v>
      </c>
      <c r="E369" s="2" t="s">
        <v>71</v>
      </c>
      <c r="F369" s="2" t="s">
        <v>195</v>
      </c>
      <c r="G369" s="2" t="s">
        <v>217</v>
      </c>
      <c r="H369" s="3">
        <v>44219</v>
      </c>
      <c r="I369" s="2" t="s">
        <v>39</v>
      </c>
      <c r="J369" s="2" t="s">
        <v>40</v>
      </c>
      <c r="K369" s="4">
        <v>2021</v>
      </c>
      <c r="L369" s="4">
        <v>722</v>
      </c>
      <c r="M369" s="4" t="s">
        <v>73</v>
      </c>
      <c r="N369" s="4" t="s">
        <v>54</v>
      </c>
      <c r="O369" s="4">
        <v>379.05</v>
      </c>
      <c r="P369" s="4">
        <v>18.952999999999999</v>
      </c>
      <c r="Q369" s="12">
        <v>360.09800000000001</v>
      </c>
      <c r="R369" s="4" t="s">
        <v>629</v>
      </c>
      <c r="S369" s="4">
        <v>106.85599999999999</v>
      </c>
      <c r="T369" s="4">
        <v>253.24199999999999</v>
      </c>
    </row>
    <row r="370" spans="1:20" ht="15" thickBot="1" x14ac:dyDescent="0.35">
      <c r="A370" s="2" t="s">
        <v>49</v>
      </c>
      <c r="B370" s="2" t="s">
        <v>21</v>
      </c>
      <c r="C370" s="2" t="s">
        <v>69</v>
      </c>
      <c r="D370" s="2" t="s">
        <v>194</v>
      </c>
      <c r="E370" s="2" t="s">
        <v>71</v>
      </c>
      <c r="F370" s="2" t="s">
        <v>195</v>
      </c>
      <c r="G370" s="2" t="s">
        <v>217</v>
      </c>
      <c r="H370" s="3">
        <v>44175</v>
      </c>
      <c r="I370" s="2" t="s">
        <v>100</v>
      </c>
      <c r="J370" s="2" t="s">
        <v>96</v>
      </c>
      <c r="K370" s="4">
        <v>2020</v>
      </c>
      <c r="L370" s="4">
        <v>3.3980000000000001</v>
      </c>
      <c r="M370" s="4" t="s">
        <v>73</v>
      </c>
      <c r="N370" s="4" t="s">
        <v>165</v>
      </c>
      <c r="O370" s="4">
        <v>101.94</v>
      </c>
      <c r="P370" s="4">
        <v>5.0970000000000004</v>
      </c>
      <c r="Q370" s="12">
        <v>96.843000000000004</v>
      </c>
      <c r="R370" s="4" t="s">
        <v>636</v>
      </c>
      <c r="S370" s="4">
        <v>502.904</v>
      </c>
      <c r="T370" s="4">
        <v>-406.06099999999998</v>
      </c>
    </row>
    <row r="371" spans="1:20" ht="15" thickBot="1" x14ac:dyDescent="0.35">
      <c r="A371" s="2" t="s">
        <v>49</v>
      </c>
      <c r="B371" s="2" t="s">
        <v>64</v>
      </c>
      <c r="C371" s="2" t="s">
        <v>69</v>
      </c>
      <c r="D371" s="2" t="s">
        <v>239</v>
      </c>
      <c r="E371" s="2" t="s">
        <v>71</v>
      </c>
      <c r="F371" s="2" t="s">
        <v>240</v>
      </c>
      <c r="G371" s="2" t="s">
        <v>217</v>
      </c>
      <c r="H371" s="3">
        <v>44513</v>
      </c>
      <c r="I371" s="2" t="s">
        <v>95</v>
      </c>
      <c r="J371" s="2" t="s">
        <v>96</v>
      </c>
      <c r="K371" s="4">
        <v>2021</v>
      </c>
      <c r="L371" s="4">
        <v>1.895</v>
      </c>
      <c r="M371" s="4" t="s">
        <v>73</v>
      </c>
      <c r="N371" s="4" t="s">
        <v>165</v>
      </c>
      <c r="O371" s="4">
        <v>56.85</v>
      </c>
      <c r="P371" s="4">
        <v>2.843</v>
      </c>
      <c r="Q371" s="12">
        <v>54.008000000000003</v>
      </c>
      <c r="R371" s="4" t="s">
        <v>165</v>
      </c>
      <c r="S371" s="4">
        <v>280.45999999999998</v>
      </c>
      <c r="T371" s="4">
        <v>-226.453</v>
      </c>
    </row>
    <row r="372" spans="1:20" ht="15" thickBot="1" x14ac:dyDescent="0.35">
      <c r="A372" s="2" t="s">
        <v>20</v>
      </c>
      <c r="B372" s="2" t="s">
        <v>68</v>
      </c>
      <c r="C372" s="2" t="s">
        <v>69</v>
      </c>
      <c r="D372" s="2" t="s">
        <v>110</v>
      </c>
      <c r="E372" s="2" t="s">
        <v>71</v>
      </c>
      <c r="F372" s="2" t="s">
        <v>111</v>
      </c>
      <c r="G372" s="2" t="s">
        <v>217</v>
      </c>
      <c r="H372" s="3">
        <v>44313</v>
      </c>
      <c r="I372" s="2" t="s">
        <v>91</v>
      </c>
      <c r="J372" s="2" t="s">
        <v>92</v>
      </c>
      <c r="K372" s="4">
        <v>2021</v>
      </c>
      <c r="L372" s="4">
        <v>1.0329999999999999</v>
      </c>
      <c r="M372" s="4" t="s">
        <v>73</v>
      </c>
      <c r="N372" s="4" t="s">
        <v>30</v>
      </c>
      <c r="O372" s="4">
        <v>194.20400000000001</v>
      </c>
      <c r="P372" s="4">
        <v>9.7100000000000009</v>
      </c>
      <c r="Q372" s="12">
        <v>184.494</v>
      </c>
      <c r="R372" s="4" t="s">
        <v>631</v>
      </c>
      <c r="S372" s="4">
        <v>152.88399999999999</v>
      </c>
      <c r="T372" s="4">
        <v>31.61</v>
      </c>
    </row>
    <row r="373" spans="1:20" ht="29.4" thickBot="1" x14ac:dyDescent="0.35">
      <c r="A373" s="2" t="s">
        <v>43</v>
      </c>
      <c r="B373" s="2" t="s">
        <v>64</v>
      </c>
      <c r="C373" s="2" t="s">
        <v>69</v>
      </c>
      <c r="D373" s="2" t="s">
        <v>405</v>
      </c>
      <c r="E373" s="2" t="s">
        <v>71</v>
      </c>
      <c r="F373" s="2" t="s">
        <v>406</v>
      </c>
      <c r="G373" s="2" t="s">
        <v>217</v>
      </c>
      <c r="H373" s="3">
        <v>44341</v>
      </c>
      <c r="I373" s="2" t="s">
        <v>142</v>
      </c>
      <c r="J373" s="2" t="s">
        <v>92</v>
      </c>
      <c r="K373" s="4">
        <v>2021</v>
      </c>
      <c r="L373" s="4">
        <v>1.5</v>
      </c>
      <c r="M373" s="4" t="s">
        <v>73</v>
      </c>
      <c r="N373" s="4" t="s">
        <v>47</v>
      </c>
      <c r="O373" s="4">
        <v>675</v>
      </c>
      <c r="P373" s="4">
        <v>33.75</v>
      </c>
      <c r="Q373" s="12">
        <v>641.25</v>
      </c>
      <c r="R373" s="4" t="s">
        <v>637</v>
      </c>
      <c r="S373" s="4">
        <v>222</v>
      </c>
      <c r="T373" s="4">
        <v>419.25</v>
      </c>
    </row>
    <row r="374" spans="1:20" ht="15" thickBot="1" x14ac:dyDescent="0.35">
      <c r="A374" s="2" t="s">
        <v>49</v>
      </c>
      <c r="B374" s="2" t="s">
        <v>21</v>
      </c>
      <c r="C374" s="2" t="s">
        <v>75</v>
      </c>
      <c r="D374" s="2" t="s">
        <v>168</v>
      </c>
      <c r="E374" s="2" t="s">
        <v>77</v>
      </c>
      <c r="F374" s="2" t="s">
        <v>169</v>
      </c>
      <c r="G374" s="2" t="s">
        <v>217</v>
      </c>
      <c r="H374" s="3">
        <v>44424</v>
      </c>
      <c r="I374" s="2" t="s">
        <v>53</v>
      </c>
      <c r="J374" s="2" t="s">
        <v>28</v>
      </c>
      <c r="K374" s="4">
        <v>2021</v>
      </c>
      <c r="L374" s="4">
        <v>3.1960000000000002</v>
      </c>
      <c r="M374" s="4" t="s">
        <v>80</v>
      </c>
      <c r="N374" s="4" t="s">
        <v>165</v>
      </c>
      <c r="O374" s="4">
        <v>95.88</v>
      </c>
      <c r="P374" s="4">
        <v>4.7939999999999996</v>
      </c>
      <c r="Q374" s="12">
        <v>91.085999999999999</v>
      </c>
      <c r="R374" s="4" t="s">
        <v>632</v>
      </c>
      <c r="S374" s="4">
        <v>984.36800000000005</v>
      </c>
      <c r="T374" s="4">
        <v>-893.28200000000004</v>
      </c>
    </row>
    <row r="375" spans="1:20" ht="15" thickBot="1" x14ac:dyDescent="0.35">
      <c r="A375" s="2" t="s">
        <v>49</v>
      </c>
      <c r="B375" s="2" t="s">
        <v>21</v>
      </c>
      <c r="C375" s="2" t="s">
        <v>75</v>
      </c>
      <c r="D375" s="2" t="s">
        <v>168</v>
      </c>
      <c r="E375" s="2" t="s">
        <v>77</v>
      </c>
      <c r="F375" s="2" t="s">
        <v>169</v>
      </c>
      <c r="G375" s="2" t="s">
        <v>217</v>
      </c>
      <c r="H375" s="3">
        <v>44493</v>
      </c>
      <c r="I375" s="2" t="s">
        <v>115</v>
      </c>
      <c r="J375" s="2" t="s">
        <v>96</v>
      </c>
      <c r="K375" s="4">
        <v>2021</v>
      </c>
      <c r="L375" s="4">
        <v>684</v>
      </c>
      <c r="M375" s="4" t="s">
        <v>80</v>
      </c>
      <c r="N375" s="4" t="s">
        <v>116</v>
      </c>
      <c r="O375" s="4">
        <v>7.524</v>
      </c>
      <c r="P375" s="4">
        <v>376</v>
      </c>
      <c r="Q375" s="12">
        <v>7.1479999999999997</v>
      </c>
      <c r="R375" s="5">
        <v>28915</v>
      </c>
      <c r="S375" s="4">
        <v>210.672</v>
      </c>
      <c r="T375" s="4">
        <v>-203.524</v>
      </c>
    </row>
    <row r="376" spans="1:20" ht="15" thickBot="1" x14ac:dyDescent="0.35">
      <c r="A376" s="2" t="s">
        <v>49</v>
      </c>
      <c r="B376" s="2" t="s">
        <v>74</v>
      </c>
      <c r="C376" s="2" t="s">
        <v>75</v>
      </c>
      <c r="D376" s="2" t="s">
        <v>76</v>
      </c>
      <c r="E376" s="2" t="s">
        <v>77</v>
      </c>
      <c r="F376" s="2" t="s">
        <v>78</v>
      </c>
      <c r="G376" s="2" t="s">
        <v>217</v>
      </c>
      <c r="H376" s="3">
        <v>44282</v>
      </c>
      <c r="I376" s="2" t="s">
        <v>112</v>
      </c>
      <c r="J376" s="2" t="s">
        <v>40</v>
      </c>
      <c r="K376" s="4">
        <v>2021</v>
      </c>
      <c r="L376" s="4">
        <v>2.984</v>
      </c>
      <c r="M376" s="4" t="s">
        <v>80</v>
      </c>
      <c r="N376" s="4" t="s">
        <v>116</v>
      </c>
      <c r="O376" s="4">
        <v>32.823999999999998</v>
      </c>
      <c r="P376" s="4">
        <v>1.641</v>
      </c>
      <c r="Q376" s="12">
        <v>31.183</v>
      </c>
      <c r="R376" s="4" t="s">
        <v>620</v>
      </c>
      <c r="S376" s="4">
        <v>919.072</v>
      </c>
      <c r="T376" s="4">
        <v>-887.88900000000001</v>
      </c>
    </row>
    <row r="377" spans="1:20" ht="15" thickBot="1" x14ac:dyDescent="0.35">
      <c r="A377" s="2" t="s">
        <v>49</v>
      </c>
      <c r="B377" s="2" t="s">
        <v>44</v>
      </c>
      <c r="C377" s="2" t="s">
        <v>120</v>
      </c>
      <c r="D377" s="2" t="s">
        <v>176</v>
      </c>
      <c r="E377" s="2" t="s">
        <v>122</v>
      </c>
      <c r="F377" s="2" t="s">
        <v>177</v>
      </c>
      <c r="G377" s="2" t="s">
        <v>217</v>
      </c>
      <c r="H377" s="3">
        <v>44548</v>
      </c>
      <c r="I377" s="2" t="s">
        <v>100</v>
      </c>
      <c r="J377" s="2" t="s">
        <v>96</v>
      </c>
      <c r="K377" s="4">
        <v>2021</v>
      </c>
      <c r="L377" s="4">
        <v>1.62</v>
      </c>
      <c r="M377" s="4" t="s">
        <v>124</v>
      </c>
      <c r="N377" s="4" t="s">
        <v>54</v>
      </c>
      <c r="O377" s="4">
        <v>850.5</v>
      </c>
      <c r="P377" s="4">
        <v>42.524999999999999</v>
      </c>
      <c r="Q377" s="12">
        <v>807.97500000000002</v>
      </c>
      <c r="R377" s="4" t="s">
        <v>638</v>
      </c>
      <c r="S377" s="4">
        <v>518.4</v>
      </c>
      <c r="T377" s="4">
        <v>289.57499999999999</v>
      </c>
    </row>
    <row r="378" spans="1:20" ht="15" thickBot="1" x14ac:dyDescent="0.35">
      <c r="A378" s="2" t="s">
        <v>49</v>
      </c>
      <c r="B378" s="2" t="s">
        <v>68</v>
      </c>
      <c r="C378" s="2" t="s">
        <v>120</v>
      </c>
      <c r="D378" s="2" t="s">
        <v>212</v>
      </c>
      <c r="E378" s="2" t="s">
        <v>122</v>
      </c>
      <c r="F378" s="2" t="s">
        <v>213</v>
      </c>
      <c r="G378" s="2" t="s">
        <v>217</v>
      </c>
      <c r="H378" s="3">
        <v>44072</v>
      </c>
      <c r="I378" s="2" t="s">
        <v>53</v>
      </c>
      <c r="J378" s="2" t="s">
        <v>28</v>
      </c>
      <c r="K378" s="4">
        <v>2020</v>
      </c>
      <c r="L378" s="4">
        <v>662</v>
      </c>
      <c r="M378" s="4" t="s">
        <v>124</v>
      </c>
      <c r="N378" s="4" t="s">
        <v>54</v>
      </c>
      <c r="O378" s="4">
        <v>347.55</v>
      </c>
      <c r="P378" s="4">
        <v>17.378</v>
      </c>
      <c r="Q378" s="12">
        <v>330.173</v>
      </c>
      <c r="R378" s="4" t="s">
        <v>639</v>
      </c>
      <c r="S378" s="4">
        <v>211.84</v>
      </c>
      <c r="T378" s="4">
        <v>118.333</v>
      </c>
    </row>
    <row r="379" spans="1:20" ht="29.4" thickBot="1" x14ac:dyDescent="0.35">
      <c r="A379" s="2" t="s">
        <v>43</v>
      </c>
      <c r="B379" s="2" t="s">
        <v>64</v>
      </c>
      <c r="C379" s="2" t="s">
        <v>120</v>
      </c>
      <c r="D379" s="2" t="s">
        <v>537</v>
      </c>
      <c r="E379" s="2" t="s">
        <v>122</v>
      </c>
      <c r="F379" s="2" t="s">
        <v>406</v>
      </c>
      <c r="G379" s="2" t="s">
        <v>217</v>
      </c>
      <c r="H379" s="3">
        <v>44423</v>
      </c>
      <c r="I379" s="2" t="s">
        <v>53</v>
      </c>
      <c r="J379" s="2" t="s">
        <v>28</v>
      </c>
      <c r="K379" s="4">
        <v>2021</v>
      </c>
      <c r="L379" s="4">
        <v>1.5</v>
      </c>
      <c r="M379" s="4" t="s">
        <v>124</v>
      </c>
      <c r="N379" s="4" t="s">
        <v>47</v>
      </c>
      <c r="O379" s="4">
        <v>675</v>
      </c>
      <c r="P379" s="4">
        <v>33.75</v>
      </c>
      <c r="Q379" s="12">
        <v>641.25</v>
      </c>
      <c r="R379" s="4" t="s">
        <v>637</v>
      </c>
      <c r="S379" s="4">
        <v>480</v>
      </c>
      <c r="T379" s="4">
        <v>161.25</v>
      </c>
    </row>
    <row r="380" spans="1:20" ht="15" thickBot="1" x14ac:dyDescent="0.35">
      <c r="A380" s="2" t="s">
        <v>33</v>
      </c>
      <c r="B380" s="2" t="s">
        <v>34</v>
      </c>
      <c r="C380" s="2" t="s">
        <v>35</v>
      </c>
      <c r="D380" s="2" t="s">
        <v>36</v>
      </c>
      <c r="E380" s="2" t="s">
        <v>37</v>
      </c>
      <c r="F380" s="2" t="s">
        <v>38</v>
      </c>
      <c r="G380" s="2" t="s">
        <v>217</v>
      </c>
      <c r="H380" s="3">
        <v>44274</v>
      </c>
      <c r="I380" s="2" t="s">
        <v>112</v>
      </c>
      <c r="J380" s="2" t="s">
        <v>40</v>
      </c>
      <c r="K380" s="4">
        <v>2021</v>
      </c>
      <c r="L380" s="4">
        <v>4.5609999999999999</v>
      </c>
      <c r="M380" s="4" t="s">
        <v>41</v>
      </c>
      <c r="N380" s="4" t="s">
        <v>42</v>
      </c>
      <c r="O380" s="4">
        <v>104.90300000000001</v>
      </c>
      <c r="P380" s="4">
        <v>6.2939999999999996</v>
      </c>
      <c r="Q380" s="12">
        <v>98.608999999999995</v>
      </c>
      <c r="R380" s="4" t="s">
        <v>640</v>
      </c>
      <c r="S380" s="4">
        <v>54.731999999999999</v>
      </c>
      <c r="T380" s="4">
        <v>43.877000000000002</v>
      </c>
    </row>
    <row r="381" spans="1:20" ht="15" thickBot="1" x14ac:dyDescent="0.35">
      <c r="A381" s="2" t="s">
        <v>49</v>
      </c>
      <c r="B381" s="2" t="s">
        <v>21</v>
      </c>
      <c r="C381" s="2" t="s">
        <v>82</v>
      </c>
      <c r="D381" s="2" t="s">
        <v>248</v>
      </c>
      <c r="E381" s="2" t="s">
        <v>84</v>
      </c>
      <c r="F381" s="2" t="s">
        <v>249</v>
      </c>
      <c r="G381" s="2" t="s">
        <v>217</v>
      </c>
      <c r="H381" s="3">
        <v>43994</v>
      </c>
      <c r="I381" s="2" t="s">
        <v>205</v>
      </c>
      <c r="J381" s="2" t="s">
        <v>92</v>
      </c>
      <c r="K381" s="4">
        <v>2020</v>
      </c>
      <c r="L381" s="4">
        <v>1.341</v>
      </c>
      <c r="M381" s="4" t="s">
        <v>87</v>
      </c>
      <c r="N381" s="4" t="s">
        <v>165</v>
      </c>
      <c r="O381" s="4">
        <v>40.229999999999997</v>
      </c>
      <c r="P381" s="4">
        <v>2.4140000000000001</v>
      </c>
      <c r="Q381" s="12">
        <v>37.816000000000003</v>
      </c>
      <c r="R381" s="6">
        <v>45678</v>
      </c>
      <c r="S381" s="4">
        <v>5.3639999999999999</v>
      </c>
      <c r="T381" s="4">
        <v>32.451999999999998</v>
      </c>
    </row>
    <row r="382" spans="1:20" ht="15" thickBot="1" x14ac:dyDescent="0.35">
      <c r="A382" s="2" t="s">
        <v>33</v>
      </c>
      <c r="B382" s="2" t="s">
        <v>34</v>
      </c>
      <c r="C382" s="2" t="s">
        <v>82</v>
      </c>
      <c r="D382" s="2" t="s">
        <v>355</v>
      </c>
      <c r="E382" s="2" t="s">
        <v>84</v>
      </c>
      <c r="F382" s="2" t="s">
        <v>356</v>
      </c>
      <c r="G382" s="2" t="s">
        <v>217</v>
      </c>
      <c r="H382" s="3">
        <v>44039</v>
      </c>
      <c r="I382" s="2" t="s">
        <v>62</v>
      </c>
      <c r="J382" s="2" t="s">
        <v>28</v>
      </c>
      <c r="K382" s="4">
        <v>2020</v>
      </c>
      <c r="L382" s="4">
        <v>3.4129999999999998</v>
      </c>
      <c r="M382" s="4" t="s">
        <v>87</v>
      </c>
      <c r="N382" s="4" t="s">
        <v>42</v>
      </c>
      <c r="O382" s="4">
        <v>78.498999999999995</v>
      </c>
      <c r="P382" s="4">
        <v>4.71</v>
      </c>
      <c r="Q382" s="12">
        <v>73.789000000000001</v>
      </c>
      <c r="R382" s="4" t="s">
        <v>641</v>
      </c>
      <c r="S382" s="4">
        <v>13.651999999999999</v>
      </c>
      <c r="T382" s="4">
        <v>60.137</v>
      </c>
    </row>
    <row r="383" spans="1:20" ht="29.4" thickBot="1" x14ac:dyDescent="0.35">
      <c r="A383" s="2" t="s">
        <v>58</v>
      </c>
      <c r="B383" s="2" t="s">
        <v>59</v>
      </c>
      <c r="C383" s="2" t="s">
        <v>82</v>
      </c>
      <c r="D383" s="2" t="s">
        <v>315</v>
      </c>
      <c r="E383" s="2" t="s">
        <v>84</v>
      </c>
      <c r="F383" s="2" t="s">
        <v>316</v>
      </c>
      <c r="G383" s="2" t="s">
        <v>217</v>
      </c>
      <c r="H383" s="3">
        <v>44158</v>
      </c>
      <c r="I383" s="2" t="s">
        <v>95</v>
      </c>
      <c r="J383" s="2" t="s">
        <v>96</v>
      </c>
      <c r="K383" s="4">
        <v>2020</v>
      </c>
      <c r="L383" s="4">
        <v>674</v>
      </c>
      <c r="M383" s="4" t="s">
        <v>87</v>
      </c>
      <c r="N383" s="4" t="s">
        <v>63</v>
      </c>
      <c r="O383" s="4">
        <v>12.132</v>
      </c>
      <c r="P383" s="4">
        <v>728</v>
      </c>
      <c r="Q383" s="12">
        <v>11.404</v>
      </c>
      <c r="R383" s="5">
        <v>12571</v>
      </c>
      <c r="S383" s="4">
        <v>2.6960000000000002</v>
      </c>
      <c r="T383" s="4">
        <v>8.7080000000000002</v>
      </c>
    </row>
    <row r="384" spans="1:20" ht="15" thickBot="1" x14ac:dyDescent="0.35">
      <c r="A384" s="2" t="s">
        <v>33</v>
      </c>
      <c r="B384" s="2" t="s">
        <v>74</v>
      </c>
      <c r="C384" s="2" t="s">
        <v>82</v>
      </c>
      <c r="D384" s="2" t="s">
        <v>642</v>
      </c>
      <c r="E384" s="2" t="s">
        <v>84</v>
      </c>
      <c r="F384" s="2" t="s">
        <v>352</v>
      </c>
      <c r="G384" s="2" t="s">
        <v>217</v>
      </c>
      <c r="H384" s="3">
        <v>44038</v>
      </c>
      <c r="I384" s="2" t="s">
        <v>62</v>
      </c>
      <c r="J384" s="2" t="s">
        <v>28</v>
      </c>
      <c r="K384" s="4">
        <v>2020</v>
      </c>
      <c r="L384" s="4">
        <v>2.4359999999999999</v>
      </c>
      <c r="M384" s="4" t="s">
        <v>87</v>
      </c>
      <c r="N384" s="4" t="s">
        <v>42</v>
      </c>
      <c r="O384" s="4">
        <v>56.027999999999999</v>
      </c>
      <c r="P384" s="4">
        <v>3.3620000000000001</v>
      </c>
      <c r="Q384" s="12">
        <v>52.665999999999997</v>
      </c>
      <c r="R384" s="4" t="s">
        <v>643</v>
      </c>
      <c r="S384" s="4">
        <v>9.7439999999999998</v>
      </c>
      <c r="T384" s="4">
        <v>42.921999999999997</v>
      </c>
    </row>
    <row r="385" spans="1:20" ht="15" thickBot="1" x14ac:dyDescent="0.35">
      <c r="A385" s="2" t="s">
        <v>49</v>
      </c>
      <c r="B385" s="2" t="s">
        <v>21</v>
      </c>
      <c r="C385" s="2" t="s">
        <v>22</v>
      </c>
      <c r="D385" s="2" t="s">
        <v>221</v>
      </c>
      <c r="E385" s="2" t="s">
        <v>24</v>
      </c>
      <c r="F385" s="2" t="s">
        <v>222</v>
      </c>
      <c r="G385" s="2" t="s">
        <v>217</v>
      </c>
      <c r="H385" s="3">
        <v>44392</v>
      </c>
      <c r="I385" s="2" t="s">
        <v>62</v>
      </c>
      <c r="J385" s="2" t="s">
        <v>28</v>
      </c>
      <c r="K385" s="4">
        <v>2021</v>
      </c>
      <c r="L385" s="4">
        <v>1.1759999999999999</v>
      </c>
      <c r="M385" s="4" t="s">
        <v>29</v>
      </c>
      <c r="N385" s="4" t="s">
        <v>54</v>
      </c>
      <c r="O385" s="4">
        <v>617.4</v>
      </c>
      <c r="P385" s="4">
        <v>37.043999999999997</v>
      </c>
      <c r="Q385" s="12">
        <v>580.35599999999999</v>
      </c>
      <c r="R385" s="4" t="s">
        <v>644</v>
      </c>
      <c r="S385" s="4">
        <v>7.056</v>
      </c>
      <c r="T385" s="4">
        <v>573.29999999999995</v>
      </c>
    </row>
    <row r="386" spans="1:20" ht="15" thickBot="1" x14ac:dyDescent="0.35">
      <c r="A386" s="2" t="s">
        <v>49</v>
      </c>
      <c r="B386" s="2" t="s">
        <v>59</v>
      </c>
      <c r="C386" s="2" t="s">
        <v>22</v>
      </c>
      <c r="D386" s="2" t="s">
        <v>181</v>
      </c>
      <c r="E386" s="2" t="s">
        <v>24</v>
      </c>
      <c r="F386" s="2" t="s">
        <v>182</v>
      </c>
      <c r="G386" s="2" t="s">
        <v>217</v>
      </c>
      <c r="H386" s="3">
        <v>44333</v>
      </c>
      <c r="I386" s="2" t="s">
        <v>142</v>
      </c>
      <c r="J386" s="2" t="s">
        <v>92</v>
      </c>
      <c r="K386" s="4">
        <v>2021</v>
      </c>
      <c r="L386" s="4">
        <v>1.752</v>
      </c>
      <c r="M386" s="4" t="s">
        <v>29</v>
      </c>
      <c r="N386" s="4" t="s">
        <v>54</v>
      </c>
      <c r="O386" s="4">
        <v>919.8</v>
      </c>
      <c r="P386" s="4">
        <v>55.188000000000002</v>
      </c>
      <c r="Q386" s="12">
        <v>864.61199999999997</v>
      </c>
      <c r="R386" s="4" t="s">
        <v>645</v>
      </c>
      <c r="S386" s="4">
        <v>10.512</v>
      </c>
      <c r="T386" s="4">
        <v>854.1</v>
      </c>
    </row>
    <row r="387" spans="1:20" ht="29.4" thickBot="1" x14ac:dyDescent="0.35">
      <c r="A387" s="2" t="s">
        <v>58</v>
      </c>
      <c r="B387" s="2" t="s">
        <v>68</v>
      </c>
      <c r="C387" s="2" t="s">
        <v>22</v>
      </c>
      <c r="D387" s="2" t="s">
        <v>513</v>
      </c>
      <c r="E387" s="2" t="s">
        <v>24</v>
      </c>
      <c r="F387" s="2" t="s">
        <v>378</v>
      </c>
      <c r="G387" s="2" t="s">
        <v>217</v>
      </c>
      <c r="H387" s="3">
        <v>44520</v>
      </c>
      <c r="I387" s="2" t="s">
        <v>95</v>
      </c>
      <c r="J387" s="2" t="s">
        <v>96</v>
      </c>
      <c r="K387" s="4">
        <v>2021</v>
      </c>
      <c r="L387" s="4">
        <v>3.2679999999999998</v>
      </c>
      <c r="M387" s="4" t="s">
        <v>29</v>
      </c>
      <c r="N387" s="4" t="s">
        <v>63</v>
      </c>
      <c r="O387" s="4">
        <v>58.823999999999998</v>
      </c>
      <c r="P387" s="4">
        <v>3.5289999999999999</v>
      </c>
      <c r="Q387" s="12">
        <v>55.295000000000002</v>
      </c>
      <c r="R387" s="4" t="s">
        <v>646</v>
      </c>
      <c r="S387" s="4">
        <v>19.608000000000001</v>
      </c>
      <c r="T387" s="4">
        <v>35.686999999999998</v>
      </c>
    </row>
    <row r="388" spans="1:20" ht="15" thickBot="1" x14ac:dyDescent="0.35">
      <c r="A388" s="2" t="s">
        <v>49</v>
      </c>
      <c r="B388" s="2" t="s">
        <v>50</v>
      </c>
      <c r="C388" s="2" t="s">
        <v>35</v>
      </c>
      <c r="D388" s="2" t="s">
        <v>233</v>
      </c>
      <c r="E388" s="2" t="s">
        <v>37</v>
      </c>
      <c r="F388" s="2" t="s">
        <v>234</v>
      </c>
      <c r="G388" s="2" t="s">
        <v>217</v>
      </c>
      <c r="H388" s="3">
        <v>43891</v>
      </c>
      <c r="I388" s="2" t="s">
        <v>112</v>
      </c>
      <c r="J388" s="2" t="s">
        <v>40</v>
      </c>
      <c r="K388" s="4">
        <v>2020</v>
      </c>
      <c r="L388" s="4">
        <v>1.7949999999999999</v>
      </c>
      <c r="M388" s="4" t="s">
        <v>41</v>
      </c>
      <c r="N388" s="4" t="s">
        <v>54</v>
      </c>
      <c r="O388" s="4">
        <v>942.375</v>
      </c>
      <c r="P388" s="4">
        <v>56.542999999999999</v>
      </c>
      <c r="Q388" s="12">
        <v>885.83299999999997</v>
      </c>
      <c r="R388" s="4" t="s">
        <v>647</v>
      </c>
      <c r="S388" s="4">
        <v>21.54</v>
      </c>
      <c r="T388" s="4">
        <v>864.29300000000001</v>
      </c>
    </row>
    <row r="389" spans="1:20" ht="15" thickBot="1" x14ac:dyDescent="0.35">
      <c r="A389" s="2" t="s">
        <v>20</v>
      </c>
      <c r="B389" s="2" t="s">
        <v>68</v>
      </c>
      <c r="C389" s="2" t="s">
        <v>69</v>
      </c>
      <c r="D389" s="2" t="s">
        <v>70</v>
      </c>
      <c r="E389" s="2" t="s">
        <v>71</v>
      </c>
      <c r="F389" s="2" t="s">
        <v>72</v>
      </c>
      <c r="G389" s="2" t="s">
        <v>217</v>
      </c>
      <c r="H389" s="3">
        <v>44511</v>
      </c>
      <c r="I389" s="2" t="s">
        <v>95</v>
      </c>
      <c r="J389" s="2" t="s">
        <v>96</v>
      </c>
      <c r="K389" s="4">
        <v>2021</v>
      </c>
      <c r="L389" s="4">
        <v>1.1419999999999999</v>
      </c>
      <c r="M389" s="4" t="s">
        <v>73</v>
      </c>
      <c r="N389" s="4" t="s">
        <v>30</v>
      </c>
      <c r="O389" s="4">
        <v>214.696</v>
      </c>
      <c r="P389" s="4">
        <v>12.882</v>
      </c>
      <c r="Q389" s="12">
        <v>201.81399999999999</v>
      </c>
      <c r="R389" s="4" t="s">
        <v>648</v>
      </c>
      <c r="S389" s="4">
        <v>169.01599999999999</v>
      </c>
      <c r="T389" s="4">
        <v>32.798000000000002</v>
      </c>
    </row>
    <row r="390" spans="1:20" ht="15" thickBot="1" x14ac:dyDescent="0.35">
      <c r="A390" s="2" t="s">
        <v>20</v>
      </c>
      <c r="B390" s="2" t="s">
        <v>68</v>
      </c>
      <c r="C390" s="2" t="s">
        <v>69</v>
      </c>
      <c r="D390" s="2" t="s">
        <v>110</v>
      </c>
      <c r="E390" s="2" t="s">
        <v>71</v>
      </c>
      <c r="F390" s="2" t="s">
        <v>111</v>
      </c>
      <c r="G390" s="2" t="s">
        <v>217</v>
      </c>
      <c r="H390" s="3">
        <v>44060</v>
      </c>
      <c r="I390" s="2" t="s">
        <v>53</v>
      </c>
      <c r="J390" s="2" t="s">
        <v>28</v>
      </c>
      <c r="K390" s="4">
        <v>2020</v>
      </c>
      <c r="L390" s="4">
        <v>3.306</v>
      </c>
      <c r="M390" s="4" t="s">
        <v>73</v>
      </c>
      <c r="N390" s="4" t="s">
        <v>30</v>
      </c>
      <c r="O390" s="4">
        <v>621.52800000000002</v>
      </c>
      <c r="P390" s="4">
        <v>37.292000000000002</v>
      </c>
      <c r="Q390" s="12">
        <v>584.23599999999999</v>
      </c>
      <c r="R390" s="4" t="s">
        <v>649</v>
      </c>
      <c r="S390" s="4">
        <v>489.28800000000001</v>
      </c>
      <c r="T390" s="4">
        <v>94.947999999999993</v>
      </c>
    </row>
    <row r="391" spans="1:20" ht="15" thickBot="1" x14ac:dyDescent="0.35">
      <c r="A391" s="2" t="s">
        <v>33</v>
      </c>
      <c r="B391" s="2" t="s">
        <v>74</v>
      </c>
      <c r="C391" s="2" t="s">
        <v>69</v>
      </c>
      <c r="D391" s="2" t="s">
        <v>382</v>
      </c>
      <c r="E391" s="2" t="s">
        <v>71</v>
      </c>
      <c r="F391" s="2" t="s">
        <v>383</v>
      </c>
      <c r="G391" s="2" t="s">
        <v>217</v>
      </c>
      <c r="H391" s="3">
        <v>44432</v>
      </c>
      <c r="I391" s="2" t="s">
        <v>53</v>
      </c>
      <c r="J391" s="2" t="s">
        <v>28</v>
      </c>
      <c r="K391" s="4">
        <v>2021</v>
      </c>
      <c r="L391" s="4">
        <v>1.8360000000000001</v>
      </c>
      <c r="M391" s="4" t="s">
        <v>73</v>
      </c>
      <c r="N391" s="4" t="s">
        <v>42</v>
      </c>
      <c r="O391" s="4">
        <v>42.228000000000002</v>
      </c>
      <c r="P391" s="4">
        <v>2.5339999999999998</v>
      </c>
      <c r="Q391" s="12">
        <v>39.694000000000003</v>
      </c>
      <c r="R391" s="4" t="s">
        <v>650</v>
      </c>
      <c r="S391" s="4">
        <v>271.72800000000001</v>
      </c>
      <c r="T391" s="4">
        <v>-232.03399999999999</v>
      </c>
    </row>
    <row r="392" spans="1:20" ht="15" thickBot="1" x14ac:dyDescent="0.35">
      <c r="A392" s="2" t="s">
        <v>49</v>
      </c>
      <c r="B392" s="2" t="s">
        <v>64</v>
      </c>
      <c r="C392" s="2" t="s">
        <v>69</v>
      </c>
      <c r="D392" s="2" t="s">
        <v>239</v>
      </c>
      <c r="E392" s="2" t="s">
        <v>71</v>
      </c>
      <c r="F392" s="2" t="s">
        <v>240</v>
      </c>
      <c r="G392" s="2" t="s">
        <v>217</v>
      </c>
      <c r="H392" s="3">
        <v>43965</v>
      </c>
      <c r="I392" s="2" t="s">
        <v>142</v>
      </c>
      <c r="J392" s="2" t="s">
        <v>92</v>
      </c>
      <c r="K392" s="4">
        <v>2020</v>
      </c>
      <c r="L392" s="4">
        <v>1.7949999999999999</v>
      </c>
      <c r="M392" s="4" t="s">
        <v>73</v>
      </c>
      <c r="N392" s="4" t="s">
        <v>54</v>
      </c>
      <c r="O392" s="4">
        <v>942.375</v>
      </c>
      <c r="P392" s="4">
        <v>56.542999999999999</v>
      </c>
      <c r="Q392" s="12">
        <v>885.83299999999997</v>
      </c>
      <c r="R392" s="4" t="s">
        <v>647</v>
      </c>
      <c r="S392" s="4">
        <v>265.66000000000003</v>
      </c>
      <c r="T392" s="4">
        <v>620.173</v>
      </c>
    </row>
    <row r="393" spans="1:20" ht="15" thickBot="1" x14ac:dyDescent="0.35">
      <c r="A393" s="2" t="s">
        <v>49</v>
      </c>
      <c r="B393" s="2" t="s">
        <v>68</v>
      </c>
      <c r="C393" s="2" t="s">
        <v>69</v>
      </c>
      <c r="D393" s="2" t="s">
        <v>163</v>
      </c>
      <c r="E393" s="2" t="s">
        <v>71</v>
      </c>
      <c r="F393" s="2" t="s">
        <v>164</v>
      </c>
      <c r="G393" s="2" t="s">
        <v>217</v>
      </c>
      <c r="H393" s="3">
        <v>44207</v>
      </c>
      <c r="I393" s="2" t="s">
        <v>39</v>
      </c>
      <c r="J393" s="2" t="s">
        <v>40</v>
      </c>
      <c r="K393" s="4">
        <v>2021</v>
      </c>
      <c r="L393" s="4">
        <v>1.798</v>
      </c>
      <c r="M393" s="4" t="s">
        <v>73</v>
      </c>
      <c r="N393" s="4" t="s">
        <v>116</v>
      </c>
      <c r="O393" s="4">
        <v>19.777999999999999</v>
      </c>
      <c r="P393" s="4">
        <v>1.1870000000000001</v>
      </c>
      <c r="Q393" s="12">
        <v>18.591000000000001</v>
      </c>
      <c r="R393" s="5">
        <v>31656</v>
      </c>
      <c r="S393" s="4">
        <v>266.10399999999998</v>
      </c>
      <c r="T393" s="4">
        <v>-247.51300000000001</v>
      </c>
    </row>
    <row r="394" spans="1:20" ht="15" thickBot="1" x14ac:dyDescent="0.35">
      <c r="A394" s="2" t="s">
        <v>33</v>
      </c>
      <c r="B394" s="2" t="s">
        <v>21</v>
      </c>
      <c r="C394" s="2" t="s">
        <v>75</v>
      </c>
      <c r="D394" s="2" t="s">
        <v>651</v>
      </c>
      <c r="E394" s="2" t="s">
        <v>77</v>
      </c>
      <c r="F394" s="2" t="s">
        <v>354</v>
      </c>
      <c r="G394" s="2" t="s">
        <v>217</v>
      </c>
      <c r="H394" s="3">
        <v>44156</v>
      </c>
      <c r="I394" s="2" t="s">
        <v>95</v>
      </c>
      <c r="J394" s="2" t="s">
        <v>96</v>
      </c>
      <c r="K394" s="4">
        <v>2020</v>
      </c>
      <c r="L394" s="4">
        <v>3.4129999999999998</v>
      </c>
      <c r="M394" s="4" t="s">
        <v>80</v>
      </c>
      <c r="N394" s="4" t="s">
        <v>42</v>
      </c>
      <c r="O394" s="4">
        <v>78.498999999999995</v>
      </c>
      <c r="P394" s="4">
        <v>4.71</v>
      </c>
      <c r="Q394" s="12">
        <v>73.789000000000001</v>
      </c>
      <c r="R394" s="4" t="s">
        <v>641</v>
      </c>
      <c r="S394" s="4" t="s">
        <v>565</v>
      </c>
      <c r="T394" s="4">
        <v>-977.41499999999996</v>
      </c>
    </row>
    <row r="395" spans="1:20" ht="15" thickBot="1" x14ac:dyDescent="0.35">
      <c r="A395" s="2" t="s">
        <v>49</v>
      </c>
      <c r="B395" s="2" t="s">
        <v>34</v>
      </c>
      <c r="C395" s="2" t="s">
        <v>75</v>
      </c>
      <c r="D395" s="2" t="s">
        <v>171</v>
      </c>
      <c r="E395" s="2" t="s">
        <v>77</v>
      </c>
      <c r="F395" s="2" t="s">
        <v>172</v>
      </c>
      <c r="G395" s="2" t="s">
        <v>217</v>
      </c>
      <c r="H395" s="3">
        <v>43905</v>
      </c>
      <c r="I395" s="2" t="s">
        <v>112</v>
      </c>
      <c r="J395" s="2" t="s">
        <v>40</v>
      </c>
      <c r="K395" s="4">
        <v>2020</v>
      </c>
      <c r="L395" s="4">
        <v>1.798</v>
      </c>
      <c r="M395" s="4" t="s">
        <v>80</v>
      </c>
      <c r="N395" s="4" t="s">
        <v>116</v>
      </c>
      <c r="O395" s="4">
        <v>19.777999999999999</v>
      </c>
      <c r="P395" s="4">
        <v>1.1870000000000001</v>
      </c>
      <c r="Q395" s="12">
        <v>18.591000000000001</v>
      </c>
      <c r="R395" s="5">
        <v>31656</v>
      </c>
      <c r="S395" s="4">
        <v>553.78399999999999</v>
      </c>
      <c r="T395" s="4">
        <v>-535.19299999999998</v>
      </c>
    </row>
    <row r="396" spans="1:20" ht="15" thickBot="1" x14ac:dyDescent="0.35">
      <c r="A396" s="2" t="s">
        <v>20</v>
      </c>
      <c r="B396" s="2" t="s">
        <v>34</v>
      </c>
      <c r="C396" s="2" t="s">
        <v>120</v>
      </c>
      <c r="D396" s="2" t="s">
        <v>652</v>
      </c>
      <c r="E396" s="2" t="s">
        <v>122</v>
      </c>
      <c r="F396" s="2" t="s">
        <v>356</v>
      </c>
      <c r="G396" s="2" t="s">
        <v>217</v>
      </c>
      <c r="H396" s="3">
        <v>44375</v>
      </c>
      <c r="I396" s="2" t="s">
        <v>205</v>
      </c>
      <c r="J396" s="2" t="s">
        <v>92</v>
      </c>
      <c r="K396" s="4">
        <v>2021</v>
      </c>
      <c r="L396" s="4">
        <v>2.3849999999999998</v>
      </c>
      <c r="M396" s="4" t="s">
        <v>124</v>
      </c>
      <c r="N396" s="4" t="s">
        <v>30</v>
      </c>
      <c r="O396" s="4">
        <v>448.38</v>
      </c>
      <c r="P396" s="4">
        <v>26.902999999999999</v>
      </c>
      <c r="Q396" s="12">
        <v>421.47699999999998</v>
      </c>
      <c r="R396" s="4" t="s">
        <v>653</v>
      </c>
      <c r="S396" s="4">
        <v>763.2</v>
      </c>
      <c r="T396" s="4">
        <v>-341.72300000000001</v>
      </c>
    </row>
    <row r="397" spans="1:20" ht="15" thickBot="1" x14ac:dyDescent="0.35">
      <c r="A397" s="2" t="s">
        <v>49</v>
      </c>
      <c r="B397" s="2" t="s">
        <v>59</v>
      </c>
      <c r="C397" s="2" t="s">
        <v>120</v>
      </c>
      <c r="D397" s="2" t="s">
        <v>369</v>
      </c>
      <c r="E397" s="2" t="s">
        <v>122</v>
      </c>
      <c r="F397" s="2" t="s">
        <v>249</v>
      </c>
      <c r="G397" s="2" t="s">
        <v>217</v>
      </c>
      <c r="H397" s="3">
        <v>44153</v>
      </c>
      <c r="I397" s="2" t="s">
        <v>95</v>
      </c>
      <c r="J397" s="2" t="s">
        <v>96</v>
      </c>
      <c r="K397" s="4">
        <v>2020</v>
      </c>
      <c r="L397" s="4">
        <v>2.0150000000000001</v>
      </c>
      <c r="M397" s="4" t="s">
        <v>124</v>
      </c>
      <c r="N397" s="4" t="s">
        <v>54</v>
      </c>
      <c r="O397" s="4" t="s">
        <v>654</v>
      </c>
      <c r="P397" s="4">
        <v>63.472999999999999</v>
      </c>
      <c r="Q397" s="12">
        <v>994.40300000000002</v>
      </c>
      <c r="R397" s="4" t="s">
        <v>655</v>
      </c>
      <c r="S397" s="4">
        <v>644.79999999999995</v>
      </c>
      <c r="T397" s="4">
        <v>349.60300000000001</v>
      </c>
    </row>
    <row r="398" spans="1:20" ht="15" thickBot="1" x14ac:dyDescent="0.35">
      <c r="A398" s="2" t="s">
        <v>33</v>
      </c>
      <c r="B398" s="2" t="s">
        <v>34</v>
      </c>
      <c r="C398" s="2" t="s">
        <v>35</v>
      </c>
      <c r="D398" s="2" t="s">
        <v>147</v>
      </c>
      <c r="E398" s="2" t="s">
        <v>37</v>
      </c>
      <c r="F398" s="2" t="s">
        <v>148</v>
      </c>
      <c r="G398" s="2" t="s">
        <v>217</v>
      </c>
      <c r="H398" s="3">
        <v>44489</v>
      </c>
      <c r="I398" s="2" t="s">
        <v>115</v>
      </c>
      <c r="J398" s="2" t="s">
        <v>96</v>
      </c>
      <c r="K398" s="4">
        <v>2021</v>
      </c>
      <c r="L398" s="4">
        <v>2.6379999999999999</v>
      </c>
      <c r="M398" s="4" t="s">
        <v>41</v>
      </c>
      <c r="N398" s="4" t="s">
        <v>42</v>
      </c>
      <c r="O398" s="4">
        <v>60.673999999999999</v>
      </c>
      <c r="P398" s="4">
        <v>3.64</v>
      </c>
      <c r="Q398" s="12">
        <v>57.033999999999999</v>
      </c>
      <c r="R398" s="4" t="s">
        <v>656</v>
      </c>
      <c r="S398" s="4">
        <v>31.655999999999999</v>
      </c>
      <c r="T398" s="4">
        <v>25.378</v>
      </c>
    </row>
    <row r="399" spans="1:20" ht="15" thickBot="1" x14ac:dyDescent="0.35">
      <c r="A399" s="2" t="s">
        <v>33</v>
      </c>
      <c r="B399" s="2" t="s">
        <v>64</v>
      </c>
      <c r="C399" s="2" t="s">
        <v>35</v>
      </c>
      <c r="D399" s="2" t="s">
        <v>187</v>
      </c>
      <c r="E399" s="2" t="s">
        <v>37</v>
      </c>
      <c r="F399" s="2" t="s">
        <v>188</v>
      </c>
      <c r="G399" s="2" t="s">
        <v>217</v>
      </c>
      <c r="H399" s="3">
        <v>44271</v>
      </c>
      <c r="I399" s="2" t="s">
        <v>112</v>
      </c>
      <c r="J399" s="2" t="s">
        <v>40</v>
      </c>
      <c r="K399" s="4">
        <v>2021</v>
      </c>
      <c r="L399" s="4">
        <v>2.0920000000000001</v>
      </c>
      <c r="M399" s="4" t="s">
        <v>41</v>
      </c>
      <c r="N399" s="4" t="s">
        <v>42</v>
      </c>
      <c r="O399" s="4">
        <v>48.116</v>
      </c>
      <c r="P399" s="4">
        <v>2.887</v>
      </c>
      <c r="Q399" s="12">
        <v>45.228999999999999</v>
      </c>
      <c r="R399" s="4" t="s">
        <v>657</v>
      </c>
      <c r="S399" s="4">
        <v>25.103999999999999</v>
      </c>
      <c r="T399" s="4">
        <v>20.125</v>
      </c>
    </row>
    <row r="400" spans="1:20" ht="15" thickBot="1" x14ac:dyDescent="0.35">
      <c r="A400" s="2" t="s">
        <v>33</v>
      </c>
      <c r="B400" s="2" t="s">
        <v>34</v>
      </c>
      <c r="C400" s="2" t="s">
        <v>35</v>
      </c>
      <c r="D400" s="2" t="s">
        <v>147</v>
      </c>
      <c r="E400" s="2" t="s">
        <v>37</v>
      </c>
      <c r="F400" s="2" t="s">
        <v>148</v>
      </c>
      <c r="G400" s="2" t="s">
        <v>217</v>
      </c>
      <c r="H400" s="3">
        <v>44153</v>
      </c>
      <c r="I400" s="2" t="s">
        <v>95</v>
      </c>
      <c r="J400" s="2" t="s">
        <v>96</v>
      </c>
      <c r="K400" s="4">
        <v>2020</v>
      </c>
      <c r="L400" s="4">
        <v>1.3839999999999999</v>
      </c>
      <c r="M400" s="4" t="s">
        <v>41</v>
      </c>
      <c r="N400" s="4" t="s">
        <v>42</v>
      </c>
      <c r="O400" s="4">
        <v>31.832000000000001</v>
      </c>
      <c r="P400" s="4">
        <v>1.91</v>
      </c>
      <c r="Q400" s="12">
        <v>29.922000000000001</v>
      </c>
      <c r="R400" s="4" t="s">
        <v>658</v>
      </c>
      <c r="S400" s="4">
        <v>16.608000000000001</v>
      </c>
      <c r="T400" s="4">
        <v>13.314</v>
      </c>
    </row>
    <row r="401" spans="1:20" ht="15" thickBot="1" x14ac:dyDescent="0.35">
      <c r="A401" s="2" t="s">
        <v>49</v>
      </c>
      <c r="B401" s="2" t="s">
        <v>50</v>
      </c>
      <c r="C401" s="2" t="s">
        <v>69</v>
      </c>
      <c r="D401" s="2" t="s">
        <v>153</v>
      </c>
      <c r="E401" s="2" t="s">
        <v>71</v>
      </c>
      <c r="F401" s="2" t="s">
        <v>154</v>
      </c>
      <c r="G401" s="2" t="s">
        <v>217</v>
      </c>
      <c r="H401" s="3">
        <v>44530</v>
      </c>
      <c r="I401" s="2" t="s">
        <v>95</v>
      </c>
      <c r="J401" s="2" t="s">
        <v>96</v>
      </c>
      <c r="K401" s="4">
        <v>2021</v>
      </c>
      <c r="L401" s="4">
        <v>1.2010000000000001</v>
      </c>
      <c r="M401" s="4" t="s">
        <v>73</v>
      </c>
      <c r="N401" s="4" t="s">
        <v>165</v>
      </c>
      <c r="O401" s="4">
        <v>36.03</v>
      </c>
      <c r="P401" s="4">
        <v>2.1619999999999999</v>
      </c>
      <c r="Q401" s="12">
        <v>33.868000000000002</v>
      </c>
      <c r="R401" s="4" t="s">
        <v>659</v>
      </c>
      <c r="S401" s="4">
        <v>177.74799999999999</v>
      </c>
      <c r="T401" s="4">
        <v>-143.88</v>
      </c>
    </row>
    <row r="402" spans="1:20" ht="15" thickBot="1" x14ac:dyDescent="0.35">
      <c r="A402" s="2" t="s">
        <v>49</v>
      </c>
      <c r="B402" s="2" t="s">
        <v>68</v>
      </c>
      <c r="C402" s="2" t="s">
        <v>69</v>
      </c>
      <c r="D402" s="2" t="s">
        <v>163</v>
      </c>
      <c r="E402" s="2" t="s">
        <v>71</v>
      </c>
      <c r="F402" s="2" t="s">
        <v>164</v>
      </c>
      <c r="G402" s="2" t="s">
        <v>217</v>
      </c>
      <c r="H402" s="3">
        <v>43999</v>
      </c>
      <c r="I402" s="2" t="s">
        <v>205</v>
      </c>
      <c r="J402" s="2" t="s">
        <v>92</v>
      </c>
      <c r="K402" s="4">
        <v>2020</v>
      </c>
      <c r="L402" s="4">
        <v>1.6</v>
      </c>
      <c r="M402" s="4" t="s">
        <v>73</v>
      </c>
      <c r="N402" s="4" t="s">
        <v>116</v>
      </c>
      <c r="O402" s="4">
        <v>17.600000000000001</v>
      </c>
      <c r="P402" s="4">
        <v>1.056</v>
      </c>
      <c r="Q402" s="12">
        <v>16.544</v>
      </c>
      <c r="R402" s="5">
        <v>28338</v>
      </c>
      <c r="S402" s="4">
        <v>236.8</v>
      </c>
      <c r="T402" s="4">
        <v>-220.256</v>
      </c>
    </row>
    <row r="403" spans="1:20" ht="15" thickBot="1" x14ac:dyDescent="0.35">
      <c r="A403" s="2" t="s">
        <v>33</v>
      </c>
      <c r="B403" s="2" t="s">
        <v>44</v>
      </c>
      <c r="C403" s="2" t="s">
        <v>75</v>
      </c>
      <c r="D403" s="2" t="s">
        <v>660</v>
      </c>
      <c r="E403" s="2" t="s">
        <v>77</v>
      </c>
      <c r="F403" s="2" t="s">
        <v>362</v>
      </c>
      <c r="G403" s="2" t="s">
        <v>217</v>
      </c>
      <c r="H403" s="3">
        <v>44482</v>
      </c>
      <c r="I403" s="2" t="s">
        <v>115</v>
      </c>
      <c r="J403" s="2" t="s">
        <v>96</v>
      </c>
      <c r="K403" s="4">
        <v>2021</v>
      </c>
      <c r="L403" s="4">
        <v>1.3839999999999999</v>
      </c>
      <c r="M403" s="4" t="s">
        <v>80</v>
      </c>
      <c r="N403" s="4" t="s">
        <v>42</v>
      </c>
      <c r="O403" s="4">
        <v>31.832000000000001</v>
      </c>
      <c r="P403" s="4">
        <v>1.91</v>
      </c>
      <c r="Q403" s="12">
        <v>29.922000000000001</v>
      </c>
      <c r="R403" s="4" t="s">
        <v>658</v>
      </c>
      <c r="S403" s="4">
        <v>426.27199999999999</v>
      </c>
      <c r="T403" s="4">
        <v>-396.35</v>
      </c>
    </row>
    <row r="404" spans="1:20" ht="29.4" thickBot="1" x14ac:dyDescent="0.35">
      <c r="A404" s="2" t="s">
        <v>58</v>
      </c>
      <c r="B404" s="2" t="s">
        <v>59</v>
      </c>
      <c r="C404" s="2" t="s">
        <v>82</v>
      </c>
      <c r="D404" s="2" t="s">
        <v>315</v>
      </c>
      <c r="E404" s="2" t="s">
        <v>84</v>
      </c>
      <c r="F404" s="2" t="s">
        <v>316</v>
      </c>
      <c r="G404" s="2" t="s">
        <v>217</v>
      </c>
      <c r="H404" s="3">
        <v>44428</v>
      </c>
      <c r="I404" s="2" t="s">
        <v>53</v>
      </c>
      <c r="J404" s="2" t="s">
        <v>28</v>
      </c>
      <c r="K404" s="4">
        <v>2021</v>
      </c>
      <c r="L404" s="4">
        <v>872</v>
      </c>
      <c r="M404" s="4" t="s">
        <v>87</v>
      </c>
      <c r="N404" s="4" t="s">
        <v>63</v>
      </c>
      <c r="O404" s="4">
        <v>15.696</v>
      </c>
      <c r="P404" s="4">
        <v>1.099</v>
      </c>
      <c r="Q404" s="12">
        <v>14.597</v>
      </c>
      <c r="R404" s="6">
        <v>45969</v>
      </c>
      <c r="S404" s="4">
        <v>3.488</v>
      </c>
      <c r="T404" s="4">
        <v>11.109</v>
      </c>
    </row>
    <row r="405" spans="1:20" ht="29.4" thickBot="1" x14ac:dyDescent="0.35">
      <c r="A405" s="2" t="s">
        <v>58</v>
      </c>
      <c r="B405" s="2" t="s">
        <v>50</v>
      </c>
      <c r="C405" s="2" t="s">
        <v>82</v>
      </c>
      <c r="D405" s="2" t="s">
        <v>179</v>
      </c>
      <c r="E405" s="2" t="s">
        <v>84</v>
      </c>
      <c r="F405" s="2" t="s">
        <v>180</v>
      </c>
      <c r="G405" s="2" t="s">
        <v>217</v>
      </c>
      <c r="H405" s="3">
        <v>43945</v>
      </c>
      <c r="I405" s="2" t="s">
        <v>91</v>
      </c>
      <c r="J405" s="2" t="s">
        <v>92</v>
      </c>
      <c r="K405" s="4">
        <v>2020</v>
      </c>
      <c r="L405" s="4">
        <v>2.2610000000000001</v>
      </c>
      <c r="M405" s="4" t="s">
        <v>87</v>
      </c>
      <c r="N405" s="4" t="s">
        <v>63</v>
      </c>
      <c r="O405" s="4">
        <v>40.698</v>
      </c>
      <c r="P405" s="4">
        <v>2.8490000000000002</v>
      </c>
      <c r="Q405" s="12">
        <v>37.848999999999997</v>
      </c>
      <c r="R405" s="6">
        <v>45737</v>
      </c>
      <c r="S405" s="4">
        <v>9.0440000000000005</v>
      </c>
      <c r="T405" s="4">
        <v>28.805</v>
      </c>
    </row>
    <row r="406" spans="1:20" ht="29.4" thickBot="1" x14ac:dyDescent="0.35">
      <c r="A406" s="2" t="s">
        <v>58</v>
      </c>
      <c r="B406" s="2" t="s">
        <v>74</v>
      </c>
      <c r="C406" s="2" t="s">
        <v>22</v>
      </c>
      <c r="D406" s="2" t="s">
        <v>516</v>
      </c>
      <c r="E406" s="2" t="s">
        <v>24</v>
      </c>
      <c r="F406" s="2" t="s">
        <v>294</v>
      </c>
      <c r="G406" s="2" t="s">
        <v>217</v>
      </c>
      <c r="H406" s="3">
        <v>44263</v>
      </c>
      <c r="I406" s="2" t="s">
        <v>112</v>
      </c>
      <c r="J406" s="2" t="s">
        <v>40</v>
      </c>
      <c r="K406" s="4">
        <v>2021</v>
      </c>
      <c r="L406" s="4">
        <v>2.8079999999999998</v>
      </c>
      <c r="M406" s="4" t="s">
        <v>29</v>
      </c>
      <c r="N406" s="4" t="s">
        <v>63</v>
      </c>
      <c r="O406" s="4">
        <v>50.543999999999997</v>
      </c>
      <c r="P406" s="4">
        <v>3.5379999999999998</v>
      </c>
      <c r="Q406" s="12">
        <v>47.006</v>
      </c>
      <c r="R406" s="6">
        <v>45987</v>
      </c>
      <c r="S406" s="4">
        <v>16.847999999999999</v>
      </c>
      <c r="T406" s="4">
        <v>30.158000000000001</v>
      </c>
    </row>
    <row r="407" spans="1:20" ht="29.4" thickBot="1" x14ac:dyDescent="0.35">
      <c r="A407" s="2" t="s">
        <v>58</v>
      </c>
      <c r="B407" s="2" t="s">
        <v>21</v>
      </c>
      <c r="C407" s="2" t="s">
        <v>22</v>
      </c>
      <c r="D407" s="2" t="s">
        <v>550</v>
      </c>
      <c r="E407" s="2" t="s">
        <v>24</v>
      </c>
      <c r="F407" s="2" t="s">
        <v>190</v>
      </c>
      <c r="G407" s="2" t="s">
        <v>217</v>
      </c>
      <c r="H407" s="3">
        <v>44068</v>
      </c>
      <c r="I407" s="2" t="s">
        <v>53</v>
      </c>
      <c r="J407" s="2" t="s">
        <v>28</v>
      </c>
      <c r="K407" s="4">
        <v>2020</v>
      </c>
      <c r="L407" s="4">
        <v>2.81</v>
      </c>
      <c r="M407" s="4" t="s">
        <v>29</v>
      </c>
      <c r="N407" s="4" t="s">
        <v>63</v>
      </c>
      <c r="O407" s="4">
        <v>50.58</v>
      </c>
      <c r="P407" s="4">
        <v>3.5409999999999999</v>
      </c>
      <c r="Q407" s="12">
        <v>47.039000000000001</v>
      </c>
      <c r="R407" s="4" t="s">
        <v>661</v>
      </c>
      <c r="S407" s="4">
        <v>16.86</v>
      </c>
      <c r="T407" s="4">
        <v>30.178999999999998</v>
      </c>
    </row>
    <row r="408" spans="1:20" ht="15" thickBot="1" x14ac:dyDescent="0.35">
      <c r="A408" s="2" t="s">
        <v>33</v>
      </c>
      <c r="B408" s="2" t="s">
        <v>50</v>
      </c>
      <c r="C408" s="2" t="s">
        <v>69</v>
      </c>
      <c r="D408" s="2" t="s">
        <v>662</v>
      </c>
      <c r="E408" s="2" t="s">
        <v>71</v>
      </c>
      <c r="F408" s="2" t="s">
        <v>367</v>
      </c>
      <c r="G408" s="2" t="s">
        <v>217</v>
      </c>
      <c r="H408" s="3">
        <v>43939</v>
      </c>
      <c r="I408" s="2" t="s">
        <v>91</v>
      </c>
      <c r="J408" s="2" t="s">
        <v>92</v>
      </c>
      <c r="K408" s="4">
        <v>2020</v>
      </c>
      <c r="L408" s="4">
        <v>1.514</v>
      </c>
      <c r="M408" s="4" t="s">
        <v>73</v>
      </c>
      <c r="N408" s="4" t="s">
        <v>42</v>
      </c>
      <c r="O408" s="4">
        <v>34.822000000000003</v>
      </c>
      <c r="P408" s="4">
        <v>2.4380000000000002</v>
      </c>
      <c r="Q408" s="12">
        <v>32.384</v>
      </c>
      <c r="R408" s="4" t="s">
        <v>663</v>
      </c>
      <c r="S408" s="4">
        <v>224.072</v>
      </c>
      <c r="T408" s="4">
        <v>-191.68799999999999</v>
      </c>
    </row>
    <row r="409" spans="1:20" ht="15" thickBot="1" x14ac:dyDescent="0.35">
      <c r="A409" s="2" t="s">
        <v>49</v>
      </c>
      <c r="B409" s="2" t="s">
        <v>74</v>
      </c>
      <c r="C409" s="2" t="s">
        <v>69</v>
      </c>
      <c r="D409" s="2" t="s">
        <v>113</v>
      </c>
      <c r="E409" s="2" t="s">
        <v>71</v>
      </c>
      <c r="F409" s="2" t="s">
        <v>114</v>
      </c>
      <c r="G409" s="2" t="s">
        <v>217</v>
      </c>
      <c r="H409" s="3">
        <v>43959</v>
      </c>
      <c r="I409" s="2" t="s">
        <v>142</v>
      </c>
      <c r="J409" s="2" t="s">
        <v>92</v>
      </c>
      <c r="K409" s="4">
        <v>2020</v>
      </c>
      <c r="L409" s="4">
        <v>1.3620000000000001</v>
      </c>
      <c r="M409" s="4" t="s">
        <v>73</v>
      </c>
      <c r="N409" s="4" t="s">
        <v>116</v>
      </c>
      <c r="O409" s="4">
        <v>14.981999999999999</v>
      </c>
      <c r="P409" s="4">
        <v>1.0489999999999999</v>
      </c>
      <c r="Q409" s="12">
        <v>13.933</v>
      </c>
      <c r="R409" s="5">
        <v>14427</v>
      </c>
      <c r="S409" s="4">
        <v>201.57599999999999</v>
      </c>
      <c r="T409" s="4">
        <v>-187.643</v>
      </c>
    </row>
    <row r="410" spans="1:20" ht="15" thickBot="1" x14ac:dyDescent="0.35">
      <c r="A410" s="2" t="s">
        <v>49</v>
      </c>
      <c r="B410" s="2" t="s">
        <v>21</v>
      </c>
      <c r="C410" s="2" t="s">
        <v>69</v>
      </c>
      <c r="D410" s="2" t="s">
        <v>194</v>
      </c>
      <c r="E410" s="2" t="s">
        <v>71</v>
      </c>
      <c r="F410" s="2" t="s">
        <v>195</v>
      </c>
      <c r="G410" s="2" t="s">
        <v>217</v>
      </c>
      <c r="H410" s="3">
        <v>44412</v>
      </c>
      <c r="I410" s="2" t="s">
        <v>53</v>
      </c>
      <c r="J410" s="2" t="s">
        <v>28</v>
      </c>
      <c r="K410" s="4">
        <v>2021</v>
      </c>
      <c r="L410" s="4">
        <v>656</v>
      </c>
      <c r="M410" s="4" t="s">
        <v>73</v>
      </c>
      <c r="N410" s="4" t="s">
        <v>116</v>
      </c>
      <c r="O410" s="4">
        <v>7.2160000000000002</v>
      </c>
      <c r="P410" s="4">
        <v>505</v>
      </c>
      <c r="Q410" s="12">
        <v>6.7110000000000003</v>
      </c>
      <c r="R410" s="5">
        <v>20515</v>
      </c>
      <c r="S410" s="4">
        <v>97.087999999999994</v>
      </c>
      <c r="T410" s="4">
        <v>-90.376999999999995</v>
      </c>
    </row>
    <row r="411" spans="1:20" ht="15" thickBot="1" x14ac:dyDescent="0.35">
      <c r="A411" s="2" t="s">
        <v>49</v>
      </c>
      <c r="B411" s="2" t="s">
        <v>74</v>
      </c>
      <c r="C411" s="2" t="s">
        <v>69</v>
      </c>
      <c r="D411" s="2" t="s">
        <v>113</v>
      </c>
      <c r="E411" s="2" t="s">
        <v>71</v>
      </c>
      <c r="F411" s="2" t="s">
        <v>114</v>
      </c>
      <c r="G411" s="2" t="s">
        <v>217</v>
      </c>
      <c r="H411" s="3">
        <v>43926</v>
      </c>
      <c r="I411" s="2" t="s">
        <v>91</v>
      </c>
      <c r="J411" s="2" t="s">
        <v>92</v>
      </c>
      <c r="K411" s="4">
        <v>2020</v>
      </c>
      <c r="L411" s="4">
        <v>1.8979999999999999</v>
      </c>
      <c r="M411" s="4" t="s">
        <v>73</v>
      </c>
      <c r="N411" s="4" t="s">
        <v>116</v>
      </c>
      <c r="O411" s="4">
        <v>20.878</v>
      </c>
      <c r="P411" s="4">
        <v>1.4610000000000001</v>
      </c>
      <c r="Q411" s="12">
        <v>19.417000000000002</v>
      </c>
      <c r="R411" s="5">
        <v>11232</v>
      </c>
      <c r="S411" s="4">
        <v>280.904</v>
      </c>
      <c r="T411" s="4">
        <v>-261.48700000000002</v>
      </c>
    </row>
    <row r="412" spans="1:20" ht="29.4" thickBot="1" x14ac:dyDescent="0.35">
      <c r="A412" s="2" t="s">
        <v>58</v>
      </c>
      <c r="B412" s="2" t="s">
        <v>21</v>
      </c>
      <c r="C412" s="2" t="s">
        <v>75</v>
      </c>
      <c r="D412" s="2" t="s">
        <v>325</v>
      </c>
      <c r="E412" s="2" t="s">
        <v>77</v>
      </c>
      <c r="F412" s="2" t="s">
        <v>326</v>
      </c>
      <c r="G412" s="2" t="s">
        <v>217</v>
      </c>
      <c r="H412" s="3">
        <v>44252</v>
      </c>
      <c r="I412" s="2" t="s">
        <v>79</v>
      </c>
      <c r="J412" s="2" t="s">
        <v>40</v>
      </c>
      <c r="K412" s="4">
        <v>2021</v>
      </c>
      <c r="L412" s="4">
        <v>2.0859999999999999</v>
      </c>
      <c r="M412" s="4" t="s">
        <v>80</v>
      </c>
      <c r="N412" s="4" t="s">
        <v>63</v>
      </c>
      <c r="O412" s="4">
        <v>37.548000000000002</v>
      </c>
      <c r="P412" s="4">
        <v>2.6280000000000001</v>
      </c>
      <c r="Q412" s="12">
        <v>34.92</v>
      </c>
      <c r="R412" s="4" t="s">
        <v>664</v>
      </c>
      <c r="S412" s="4">
        <v>642.48800000000006</v>
      </c>
      <c r="T412" s="4">
        <v>-607.56799999999998</v>
      </c>
    </row>
    <row r="413" spans="1:20" ht="15" thickBot="1" x14ac:dyDescent="0.35">
      <c r="A413" s="2" t="s">
        <v>49</v>
      </c>
      <c r="B413" s="2" t="s">
        <v>68</v>
      </c>
      <c r="C413" s="2" t="s">
        <v>75</v>
      </c>
      <c r="D413" s="2" t="s">
        <v>242</v>
      </c>
      <c r="E413" s="2" t="s">
        <v>77</v>
      </c>
      <c r="F413" s="2" t="s">
        <v>243</v>
      </c>
      <c r="G413" s="2" t="s">
        <v>217</v>
      </c>
      <c r="H413" s="3">
        <v>44197</v>
      </c>
      <c r="I413" s="2" t="s">
        <v>39</v>
      </c>
      <c r="J413" s="2" t="s">
        <v>40</v>
      </c>
      <c r="K413" s="4">
        <v>2021</v>
      </c>
      <c r="L413" s="4">
        <v>1.8979999999999999</v>
      </c>
      <c r="M413" s="4" t="s">
        <v>80</v>
      </c>
      <c r="N413" s="4" t="s">
        <v>116</v>
      </c>
      <c r="O413" s="4">
        <v>20.878</v>
      </c>
      <c r="P413" s="4">
        <v>1.4610000000000001</v>
      </c>
      <c r="Q413" s="12">
        <v>19.417000000000002</v>
      </c>
      <c r="R413" s="5">
        <v>11232</v>
      </c>
      <c r="S413" s="4">
        <v>584.58399999999995</v>
      </c>
      <c r="T413" s="4">
        <v>-565.16700000000003</v>
      </c>
    </row>
    <row r="414" spans="1:20" ht="15" thickBot="1" x14ac:dyDescent="0.35">
      <c r="A414" s="2" t="s">
        <v>49</v>
      </c>
      <c r="B414" s="2" t="s">
        <v>68</v>
      </c>
      <c r="C414" s="2" t="s">
        <v>120</v>
      </c>
      <c r="D414" s="2" t="s">
        <v>212</v>
      </c>
      <c r="E414" s="2" t="s">
        <v>122</v>
      </c>
      <c r="F414" s="2" t="s">
        <v>213</v>
      </c>
      <c r="G414" s="2" t="s">
        <v>217</v>
      </c>
      <c r="H414" s="3">
        <v>43986</v>
      </c>
      <c r="I414" s="2" t="s">
        <v>205</v>
      </c>
      <c r="J414" s="2" t="s">
        <v>92</v>
      </c>
      <c r="K414" s="4">
        <v>2020</v>
      </c>
      <c r="L414" s="4">
        <v>1.3620000000000001</v>
      </c>
      <c r="M414" s="4" t="s">
        <v>124</v>
      </c>
      <c r="N414" s="4" t="s">
        <v>116</v>
      </c>
      <c r="O414" s="4">
        <v>14.981999999999999</v>
      </c>
      <c r="P414" s="4">
        <v>1.0489999999999999</v>
      </c>
      <c r="Q414" s="12">
        <v>13.933</v>
      </c>
      <c r="R414" s="5">
        <v>14427</v>
      </c>
      <c r="S414" s="4">
        <v>435.84</v>
      </c>
      <c r="T414" s="4">
        <v>-421.90699999999998</v>
      </c>
    </row>
    <row r="415" spans="1:20" ht="15" thickBot="1" x14ac:dyDescent="0.35">
      <c r="A415" s="2" t="s">
        <v>49</v>
      </c>
      <c r="B415" s="2" t="s">
        <v>21</v>
      </c>
      <c r="C415" s="2" t="s">
        <v>82</v>
      </c>
      <c r="D415" s="2" t="s">
        <v>248</v>
      </c>
      <c r="E415" s="2" t="s">
        <v>84</v>
      </c>
      <c r="F415" s="2" t="s">
        <v>249</v>
      </c>
      <c r="G415" s="2" t="s">
        <v>217</v>
      </c>
      <c r="H415" s="3">
        <v>44319</v>
      </c>
      <c r="I415" s="2" t="s">
        <v>142</v>
      </c>
      <c r="J415" s="2" t="s">
        <v>92</v>
      </c>
      <c r="K415" s="4">
        <v>2021</v>
      </c>
      <c r="L415" s="4">
        <v>2.113</v>
      </c>
      <c r="M415" s="4" t="s">
        <v>87</v>
      </c>
      <c r="N415" s="4" t="s">
        <v>54</v>
      </c>
      <c r="O415" s="4" t="s">
        <v>665</v>
      </c>
      <c r="P415" s="4">
        <v>77.653000000000006</v>
      </c>
      <c r="Q415" s="12" t="s">
        <v>666</v>
      </c>
      <c r="R415" s="4" t="s">
        <v>667</v>
      </c>
      <c r="S415" s="4">
        <v>8.452</v>
      </c>
      <c r="T415" s="4" t="s">
        <v>668</v>
      </c>
    </row>
    <row r="416" spans="1:20" ht="29.4" thickBot="1" x14ac:dyDescent="0.35">
      <c r="A416" s="2" t="s">
        <v>43</v>
      </c>
      <c r="B416" s="2" t="s">
        <v>59</v>
      </c>
      <c r="C416" s="2" t="s">
        <v>82</v>
      </c>
      <c r="D416" s="2" t="s">
        <v>669</v>
      </c>
      <c r="E416" s="2" t="s">
        <v>84</v>
      </c>
      <c r="F416" s="2" t="s">
        <v>249</v>
      </c>
      <c r="G416" s="2" t="s">
        <v>217</v>
      </c>
      <c r="H416" s="3">
        <v>44422</v>
      </c>
      <c r="I416" s="2" t="s">
        <v>53</v>
      </c>
      <c r="J416" s="2" t="s">
        <v>28</v>
      </c>
      <c r="K416" s="4">
        <v>2021</v>
      </c>
      <c r="L416" s="4">
        <v>538</v>
      </c>
      <c r="M416" s="4" t="s">
        <v>87</v>
      </c>
      <c r="N416" s="4" t="s">
        <v>47</v>
      </c>
      <c r="O416" s="4">
        <v>242.1</v>
      </c>
      <c r="P416" s="4">
        <v>16.946999999999999</v>
      </c>
      <c r="Q416" s="12">
        <v>225.15299999999999</v>
      </c>
      <c r="R416" s="4" t="s">
        <v>670</v>
      </c>
      <c r="S416" s="4">
        <v>2.1520000000000001</v>
      </c>
      <c r="T416" s="4">
        <v>223.001</v>
      </c>
    </row>
    <row r="417" spans="1:20" ht="29.4" thickBot="1" x14ac:dyDescent="0.35">
      <c r="A417" s="2" t="s">
        <v>43</v>
      </c>
      <c r="B417" s="2" t="s">
        <v>59</v>
      </c>
      <c r="C417" s="2" t="s">
        <v>82</v>
      </c>
      <c r="D417" s="2" t="s">
        <v>669</v>
      </c>
      <c r="E417" s="2" t="s">
        <v>84</v>
      </c>
      <c r="F417" s="2" t="s">
        <v>249</v>
      </c>
      <c r="G417" s="2" t="s">
        <v>217</v>
      </c>
      <c r="H417" s="3">
        <v>44036</v>
      </c>
      <c r="I417" s="2" t="s">
        <v>62</v>
      </c>
      <c r="J417" s="2" t="s">
        <v>28</v>
      </c>
      <c r="K417" s="4">
        <v>2020</v>
      </c>
      <c r="L417" s="4">
        <v>2.617</v>
      </c>
      <c r="M417" s="4" t="s">
        <v>87</v>
      </c>
      <c r="N417" s="4" t="s">
        <v>47</v>
      </c>
      <c r="O417" s="4" t="s">
        <v>671</v>
      </c>
      <c r="P417" s="4">
        <v>82.436000000000007</v>
      </c>
      <c r="Q417" s="12" t="s">
        <v>672</v>
      </c>
      <c r="R417" s="4" t="s">
        <v>673</v>
      </c>
      <c r="S417" s="4">
        <v>10.468</v>
      </c>
      <c r="T417" s="4" t="s">
        <v>674</v>
      </c>
    </row>
    <row r="418" spans="1:20" ht="15" thickBot="1" x14ac:dyDescent="0.35">
      <c r="A418" s="2" t="s">
        <v>49</v>
      </c>
      <c r="B418" s="2" t="s">
        <v>44</v>
      </c>
      <c r="C418" s="2" t="s">
        <v>22</v>
      </c>
      <c r="D418" s="2" t="s">
        <v>253</v>
      </c>
      <c r="E418" s="2" t="s">
        <v>24</v>
      </c>
      <c r="F418" s="2" t="s">
        <v>254</v>
      </c>
      <c r="G418" s="2" t="s">
        <v>217</v>
      </c>
      <c r="H418" s="3">
        <v>44098</v>
      </c>
      <c r="I418" s="2" t="s">
        <v>27</v>
      </c>
      <c r="J418" s="2" t="s">
        <v>28</v>
      </c>
      <c r="K418" s="4">
        <v>2020</v>
      </c>
      <c r="L418" s="4">
        <v>2.371</v>
      </c>
      <c r="M418" s="4" t="s">
        <v>29</v>
      </c>
      <c r="N418" s="4" t="s">
        <v>165</v>
      </c>
      <c r="O418" s="4">
        <v>71.13</v>
      </c>
      <c r="P418" s="4">
        <v>4.9790000000000001</v>
      </c>
      <c r="Q418" s="12">
        <v>66.150999999999996</v>
      </c>
      <c r="R418" s="4" t="s">
        <v>675</v>
      </c>
      <c r="S418" s="4">
        <v>14.226000000000001</v>
      </c>
      <c r="T418" s="4">
        <v>51.924999999999997</v>
      </c>
    </row>
    <row r="419" spans="1:20" ht="29.4" thickBot="1" x14ac:dyDescent="0.35">
      <c r="A419" s="2" t="s">
        <v>43</v>
      </c>
      <c r="B419" s="2" t="s">
        <v>64</v>
      </c>
      <c r="C419" s="2" t="s">
        <v>22</v>
      </c>
      <c r="D419" s="2" t="s">
        <v>317</v>
      </c>
      <c r="E419" s="2" t="s">
        <v>24</v>
      </c>
      <c r="F419" s="2" t="s">
        <v>318</v>
      </c>
      <c r="G419" s="2" t="s">
        <v>217</v>
      </c>
      <c r="H419" s="3">
        <v>44403</v>
      </c>
      <c r="I419" s="2" t="s">
        <v>62</v>
      </c>
      <c r="J419" s="2" t="s">
        <v>28</v>
      </c>
      <c r="K419" s="4">
        <v>2021</v>
      </c>
      <c r="L419" s="4">
        <v>2.617</v>
      </c>
      <c r="M419" s="4" t="s">
        <v>29</v>
      </c>
      <c r="N419" s="4" t="s">
        <v>47</v>
      </c>
      <c r="O419" s="4" t="s">
        <v>671</v>
      </c>
      <c r="P419" s="4">
        <v>82.436000000000007</v>
      </c>
      <c r="Q419" s="12" t="s">
        <v>672</v>
      </c>
      <c r="R419" s="4" t="s">
        <v>673</v>
      </c>
      <c r="S419" s="4">
        <v>15.702</v>
      </c>
      <c r="T419" s="4" t="s">
        <v>676</v>
      </c>
    </row>
    <row r="420" spans="1:20" ht="29.4" thickBot="1" x14ac:dyDescent="0.35">
      <c r="A420" s="2" t="s">
        <v>43</v>
      </c>
      <c r="B420" s="2" t="s">
        <v>64</v>
      </c>
      <c r="C420" s="2" t="s">
        <v>35</v>
      </c>
      <c r="D420" s="2" t="s">
        <v>287</v>
      </c>
      <c r="E420" s="2" t="s">
        <v>37</v>
      </c>
      <c r="F420" s="2" t="s">
        <v>288</v>
      </c>
      <c r="G420" s="2" t="s">
        <v>217</v>
      </c>
      <c r="H420" s="3">
        <v>44333</v>
      </c>
      <c r="I420" s="2" t="s">
        <v>142</v>
      </c>
      <c r="J420" s="2" t="s">
        <v>92</v>
      </c>
      <c r="K420" s="4">
        <v>2021</v>
      </c>
      <c r="L420" s="4">
        <v>2.0419999999999998</v>
      </c>
      <c r="M420" s="4" t="s">
        <v>41</v>
      </c>
      <c r="N420" s="4" t="s">
        <v>47</v>
      </c>
      <c r="O420" s="4">
        <v>918.9</v>
      </c>
      <c r="P420" s="4">
        <v>64.322999999999993</v>
      </c>
      <c r="Q420" s="12">
        <v>854.577</v>
      </c>
      <c r="R420" s="4" t="s">
        <v>677</v>
      </c>
      <c r="S420" s="4">
        <v>24.504000000000001</v>
      </c>
      <c r="T420" s="4">
        <v>830.07299999999998</v>
      </c>
    </row>
    <row r="421" spans="1:20" ht="29.4" thickBot="1" x14ac:dyDescent="0.35">
      <c r="A421" s="2" t="s">
        <v>43</v>
      </c>
      <c r="B421" s="2" t="s">
        <v>21</v>
      </c>
      <c r="C421" s="2" t="s">
        <v>35</v>
      </c>
      <c r="D421" s="2" t="s">
        <v>518</v>
      </c>
      <c r="E421" s="2" t="s">
        <v>37</v>
      </c>
      <c r="F421" s="2" t="s">
        <v>298</v>
      </c>
      <c r="G421" s="2" t="s">
        <v>217</v>
      </c>
      <c r="H421" s="3">
        <v>44351</v>
      </c>
      <c r="I421" s="2" t="s">
        <v>205</v>
      </c>
      <c r="J421" s="2" t="s">
        <v>92</v>
      </c>
      <c r="K421" s="4">
        <v>2021</v>
      </c>
      <c r="L421" s="4">
        <v>538</v>
      </c>
      <c r="M421" s="4" t="s">
        <v>41</v>
      </c>
      <c r="N421" s="4" t="s">
        <v>47</v>
      </c>
      <c r="O421" s="4">
        <v>242.1</v>
      </c>
      <c r="P421" s="4">
        <v>16.946999999999999</v>
      </c>
      <c r="Q421" s="12">
        <v>225.15299999999999</v>
      </c>
      <c r="R421" s="4" t="s">
        <v>670</v>
      </c>
      <c r="S421" s="4">
        <v>6.4560000000000004</v>
      </c>
      <c r="T421" s="4">
        <v>218.697</v>
      </c>
    </row>
    <row r="422" spans="1:20" ht="15" thickBot="1" x14ac:dyDescent="0.35">
      <c r="A422" s="2" t="s">
        <v>20</v>
      </c>
      <c r="B422" s="2" t="s">
        <v>68</v>
      </c>
      <c r="C422" s="2" t="s">
        <v>35</v>
      </c>
      <c r="D422" s="2" t="s">
        <v>137</v>
      </c>
      <c r="E422" s="2" t="s">
        <v>37</v>
      </c>
      <c r="F422" s="2" t="s">
        <v>138</v>
      </c>
      <c r="G422" s="2" t="s">
        <v>217</v>
      </c>
      <c r="H422" s="3">
        <v>44113</v>
      </c>
      <c r="I422" s="2" t="s">
        <v>115</v>
      </c>
      <c r="J422" s="2" t="s">
        <v>96</v>
      </c>
      <c r="K422" s="4">
        <v>2020</v>
      </c>
      <c r="L422" s="4">
        <v>4.2160000000000002</v>
      </c>
      <c r="M422" s="4" t="s">
        <v>41</v>
      </c>
      <c r="N422" s="4" t="s">
        <v>30</v>
      </c>
      <c r="O422" s="4">
        <v>792.60799999999995</v>
      </c>
      <c r="P422" s="4">
        <v>55.482999999999997</v>
      </c>
      <c r="Q422" s="12">
        <v>737.125</v>
      </c>
      <c r="R422" s="4" t="s">
        <v>678</v>
      </c>
      <c r="S422" s="4">
        <v>50.591999999999999</v>
      </c>
      <c r="T422" s="4">
        <v>686.53300000000002</v>
      </c>
    </row>
    <row r="423" spans="1:20" ht="15" thickBot="1" x14ac:dyDescent="0.35">
      <c r="A423" s="2" t="s">
        <v>33</v>
      </c>
      <c r="B423" s="2" t="s">
        <v>34</v>
      </c>
      <c r="C423" s="2" t="s">
        <v>35</v>
      </c>
      <c r="D423" s="2" t="s">
        <v>36</v>
      </c>
      <c r="E423" s="2" t="s">
        <v>37</v>
      </c>
      <c r="F423" s="2" t="s">
        <v>38</v>
      </c>
      <c r="G423" s="2" t="s">
        <v>217</v>
      </c>
      <c r="H423" s="3">
        <v>43949</v>
      </c>
      <c r="I423" s="2" t="s">
        <v>91</v>
      </c>
      <c r="J423" s="2" t="s">
        <v>92</v>
      </c>
      <c r="K423" s="4">
        <v>2020</v>
      </c>
      <c r="L423" s="4">
        <v>2.5209999999999999</v>
      </c>
      <c r="M423" s="4" t="s">
        <v>41</v>
      </c>
      <c r="N423" s="4" t="s">
        <v>42</v>
      </c>
      <c r="O423" s="4">
        <v>57.982999999999997</v>
      </c>
      <c r="P423" s="4">
        <v>4.0590000000000002</v>
      </c>
      <c r="Q423" s="12">
        <v>53.923999999999999</v>
      </c>
      <c r="R423" s="4" t="s">
        <v>679</v>
      </c>
      <c r="S423" s="4">
        <v>30.251999999999999</v>
      </c>
      <c r="T423" s="4">
        <v>23.672000000000001</v>
      </c>
    </row>
    <row r="424" spans="1:20" ht="15" thickBot="1" x14ac:dyDescent="0.35">
      <c r="A424" s="2" t="s">
        <v>49</v>
      </c>
      <c r="B424" s="2" t="s">
        <v>50</v>
      </c>
      <c r="C424" s="2" t="s">
        <v>35</v>
      </c>
      <c r="D424" s="2" t="s">
        <v>233</v>
      </c>
      <c r="E424" s="2" t="s">
        <v>37</v>
      </c>
      <c r="F424" s="2" t="s">
        <v>234</v>
      </c>
      <c r="G424" s="2" t="s">
        <v>217</v>
      </c>
      <c r="H424" s="3">
        <v>43896</v>
      </c>
      <c r="I424" s="2" t="s">
        <v>112</v>
      </c>
      <c r="J424" s="2" t="s">
        <v>40</v>
      </c>
      <c r="K424" s="4">
        <v>2020</v>
      </c>
      <c r="L424" s="4">
        <v>1.8420000000000001</v>
      </c>
      <c r="M424" s="4" t="s">
        <v>41</v>
      </c>
      <c r="N424" s="4" t="s">
        <v>165</v>
      </c>
      <c r="O424" s="4">
        <v>55.26</v>
      </c>
      <c r="P424" s="4">
        <v>3.8679999999999999</v>
      </c>
      <c r="Q424" s="12">
        <v>51.392000000000003</v>
      </c>
      <c r="R424" s="4" t="s">
        <v>680</v>
      </c>
      <c r="S424" s="4">
        <v>22.103999999999999</v>
      </c>
      <c r="T424" s="4">
        <v>29.288</v>
      </c>
    </row>
    <row r="425" spans="1:20" ht="29.4" thickBot="1" x14ac:dyDescent="0.35">
      <c r="A425" s="2" t="s">
        <v>43</v>
      </c>
      <c r="B425" s="2" t="s">
        <v>59</v>
      </c>
      <c r="C425" s="2" t="s">
        <v>69</v>
      </c>
      <c r="D425" s="2" t="s">
        <v>257</v>
      </c>
      <c r="E425" s="2" t="s">
        <v>71</v>
      </c>
      <c r="F425" s="2" t="s">
        <v>258</v>
      </c>
      <c r="G425" s="2" t="s">
        <v>217</v>
      </c>
      <c r="H425" s="3">
        <v>44506</v>
      </c>
      <c r="I425" s="2" t="s">
        <v>95</v>
      </c>
      <c r="J425" s="2" t="s">
        <v>96</v>
      </c>
      <c r="K425" s="4">
        <v>2021</v>
      </c>
      <c r="L425" s="4">
        <v>1.9910000000000001</v>
      </c>
      <c r="M425" s="4" t="s">
        <v>73</v>
      </c>
      <c r="N425" s="4" t="s">
        <v>47</v>
      </c>
      <c r="O425" s="4">
        <v>895.95</v>
      </c>
      <c r="P425" s="4">
        <v>62.716999999999999</v>
      </c>
      <c r="Q425" s="12">
        <v>833.23400000000004</v>
      </c>
      <c r="R425" s="4" t="s">
        <v>681</v>
      </c>
      <c r="S425" s="4">
        <v>294.66800000000001</v>
      </c>
      <c r="T425" s="4">
        <v>538.56600000000003</v>
      </c>
    </row>
    <row r="426" spans="1:20" ht="15" thickBot="1" x14ac:dyDescent="0.35">
      <c r="A426" s="2" t="s">
        <v>49</v>
      </c>
      <c r="B426" s="2" t="s">
        <v>68</v>
      </c>
      <c r="C426" s="2" t="s">
        <v>69</v>
      </c>
      <c r="D426" s="2" t="s">
        <v>163</v>
      </c>
      <c r="E426" s="2" t="s">
        <v>71</v>
      </c>
      <c r="F426" s="2" t="s">
        <v>164</v>
      </c>
      <c r="G426" s="2" t="s">
        <v>217</v>
      </c>
      <c r="H426" s="3">
        <v>44185</v>
      </c>
      <c r="I426" s="2" t="s">
        <v>100</v>
      </c>
      <c r="J426" s="2" t="s">
        <v>96</v>
      </c>
      <c r="K426" s="4">
        <v>2020</v>
      </c>
      <c r="L426" s="4">
        <v>731</v>
      </c>
      <c r="M426" s="4" t="s">
        <v>73</v>
      </c>
      <c r="N426" s="4" t="s">
        <v>165</v>
      </c>
      <c r="O426" s="4">
        <v>21.93</v>
      </c>
      <c r="P426" s="4">
        <v>1.5349999999999999</v>
      </c>
      <c r="Q426" s="12">
        <v>20.395</v>
      </c>
      <c r="R426" s="5">
        <v>12359</v>
      </c>
      <c r="S426" s="4">
        <v>108.188</v>
      </c>
      <c r="T426" s="4">
        <v>-87.793000000000006</v>
      </c>
    </row>
    <row r="427" spans="1:20" ht="15" thickBot="1" x14ac:dyDescent="0.35">
      <c r="A427" s="2" t="s">
        <v>20</v>
      </c>
      <c r="B427" s="2" t="s">
        <v>59</v>
      </c>
      <c r="C427" s="2" t="s">
        <v>69</v>
      </c>
      <c r="D427" s="2" t="s">
        <v>159</v>
      </c>
      <c r="E427" s="2" t="s">
        <v>71</v>
      </c>
      <c r="F427" s="2" t="s">
        <v>160</v>
      </c>
      <c r="G427" s="2" t="s">
        <v>217</v>
      </c>
      <c r="H427" s="3">
        <v>43933</v>
      </c>
      <c r="I427" s="2" t="s">
        <v>91</v>
      </c>
      <c r="J427" s="2" t="s">
        <v>92</v>
      </c>
      <c r="K427" s="4">
        <v>2020</v>
      </c>
      <c r="L427" s="4">
        <v>2.504</v>
      </c>
      <c r="M427" s="4" t="s">
        <v>73</v>
      </c>
      <c r="N427" s="4" t="s">
        <v>30</v>
      </c>
      <c r="O427" s="4">
        <v>470.75200000000001</v>
      </c>
      <c r="P427" s="4">
        <v>32.953000000000003</v>
      </c>
      <c r="Q427" s="12">
        <v>437.79899999999998</v>
      </c>
      <c r="R427" s="4" t="s">
        <v>682</v>
      </c>
      <c r="S427" s="4">
        <v>370.59199999999998</v>
      </c>
      <c r="T427" s="4">
        <v>67.206999999999994</v>
      </c>
    </row>
    <row r="428" spans="1:20" ht="15" thickBot="1" x14ac:dyDescent="0.35">
      <c r="A428" s="2" t="s">
        <v>49</v>
      </c>
      <c r="B428" s="2" t="s">
        <v>64</v>
      </c>
      <c r="C428" s="2" t="s">
        <v>69</v>
      </c>
      <c r="D428" s="2" t="s">
        <v>239</v>
      </c>
      <c r="E428" s="2" t="s">
        <v>71</v>
      </c>
      <c r="F428" s="2" t="s">
        <v>240</v>
      </c>
      <c r="G428" s="2" t="s">
        <v>217</v>
      </c>
      <c r="H428" s="3">
        <v>44411</v>
      </c>
      <c r="I428" s="2" t="s">
        <v>53</v>
      </c>
      <c r="J428" s="2" t="s">
        <v>28</v>
      </c>
      <c r="K428" s="4">
        <v>2021</v>
      </c>
      <c r="L428" s="4">
        <v>2.371</v>
      </c>
      <c r="M428" s="4" t="s">
        <v>73</v>
      </c>
      <c r="N428" s="4" t="s">
        <v>165</v>
      </c>
      <c r="O428" s="4">
        <v>71.13</v>
      </c>
      <c r="P428" s="4">
        <v>4.9790000000000001</v>
      </c>
      <c r="Q428" s="12">
        <v>66.150999999999996</v>
      </c>
      <c r="R428" s="4" t="s">
        <v>675</v>
      </c>
      <c r="S428" s="4">
        <v>350.90800000000002</v>
      </c>
      <c r="T428" s="4">
        <v>-284.75700000000001</v>
      </c>
    </row>
    <row r="429" spans="1:20" ht="29.4" thickBot="1" x14ac:dyDescent="0.35">
      <c r="A429" s="2" t="s">
        <v>43</v>
      </c>
      <c r="B429" s="2" t="s">
        <v>64</v>
      </c>
      <c r="C429" s="2" t="s">
        <v>69</v>
      </c>
      <c r="D429" s="2" t="s">
        <v>342</v>
      </c>
      <c r="E429" s="2" t="s">
        <v>71</v>
      </c>
      <c r="F429" s="2" t="s">
        <v>225</v>
      </c>
      <c r="G429" s="2" t="s">
        <v>217</v>
      </c>
      <c r="H429" s="3">
        <v>44041</v>
      </c>
      <c r="I429" s="2" t="s">
        <v>62</v>
      </c>
      <c r="J429" s="2" t="s">
        <v>28</v>
      </c>
      <c r="K429" s="4">
        <v>2020</v>
      </c>
      <c r="L429" s="4">
        <v>1.6459999999999999</v>
      </c>
      <c r="M429" s="4" t="s">
        <v>73</v>
      </c>
      <c r="N429" s="4" t="s">
        <v>47</v>
      </c>
      <c r="O429" s="4">
        <v>740.7</v>
      </c>
      <c r="P429" s="4">
        <v>51.848999999999997</v>
      </c>
      <c r="Q429" s="12">
        <v>688.851</v>
      </c>
      <c r="R429" s="4" t="s">
        <v>683</v>
      </c>
      <c r="S429" s="4">
        <v>243.608</v>
      </c>
      <c r="T429" s="4">
        <v>445.24299999999999</v>
      </c>
    </row>
    <row r="430" spans="1:20" ht="29.4" thickBot="1" x14ac:dyDescent="0.35">
      <c r="A430" s="2" t="s">
        <v>58</v>
      </c>
      <c r="B430" s="2" t="s">
        <v>64</v>
      </c>
      <c r="C430" s="2" t="s">
        <v>75</v>
      </c>
      <c r="D430" s="2" t="s">
        <v>684</v>
      </c>
      <c r="E430" s="2" t="s">
        <v>77</v>
      </c>
      <c r="F430" s="2" t="s">
        <v>371</v>
      </c>
      <c r="G430" s="2" t="s">
        <v>217</v>
      </c>
      <c r="H430" s="3">
        <v>44463</v>
      </c>
      <c r="I430" s="2" t="s">
        <v>27</v>
      </c>
      <c r="J430" s="2" t="s">
        <v>28</v>
      </c>
      <c r="K430" s="4">
        <v>2021</v>
      </c>
      <c r="L430" s="4">
        <v>3.8929999999999998</v>
      </c>
      <c r="M430" s="4" t="s">
        <v>80</v>
      </c>
      <c r="N430" s="4" t="s">
        <v>63</v>
      </c>
      <c r="O430" s="4">
        <v>70.073999999999998</v>
      </c>
      <c r="P430" s="4">
        <v>4.9050000000000002</v>
      </c>
      <c r="Q430" s="12">
        <v>65.168999999999997</v>
      </c>
      <c r="R430" s="4" t="s">
        <v>685</v>
      </c>
      <c r="S430" s="4" t="s">
        <v>686</v>
      </c>
      <c r="T430" s="4" t="s">
        <v>687</v>
      </c>
    </row>
    <row r="431" spans="1:20" ht="29.4" thickBot="1" x14ac:dyDescent="0.35">
      <c r="A431" s="2" t="s">
        <v>43</v>
      </c>
      <c r="B431" s="2" t="s">
        <v>64</v>
      </c>
      <c r="C431" s="2" t="s">
        <v>75</v>
      </c>
      <c r="D431" s="2" t="s">
        <v>263</v>
      </c>
      <c r="E431" s="2" t="s">
        <v>77</v>
      </c>
      <c r="F431" s="2" t="s">
        <v>264</v>
      </c>
      <c r="G431" s="2" t="s">
        <v>217</v>
      </c>
      <c r="H431" s="3">
        <v>44300</v>
      </c>
      <c r="I431" s="2" t="s">
        <v>91</v>
      </c>
      <c r="J431" s="2" t="s">
        <v>92</v>
      </c>
      <c r="K431" s="4">
        <v>2021</v>
      </c>
      <c r="L431" s="4">
        <v>1.151</v>
      </c>
      <c r="M431" s="4" t="s">
        <v>80</v>
      </c>
      <c r="N431" s="4" t="s">
        <v>47</v>
      </c>
      <c r="O431" s="4">
        <v>517.95000000000005</v>
      </c>
      <c r="P431" s="4">
        <v>36.256999999999998</v>
      </c>
      <c r="Q431" s="12">
        <v>481.69400000000002</v>
      </c>
      <c r="R431" s="4" t="s">
        <v>688</v>
      </c>
      <c r="S431" s="4">
        <v>354.50799999999998</v>
      </c>
      <c r="T431" s="4">
        <v>127.18600000000001</v>
      </c>
    </row>
    <row r="432" spans="1:20" ht="29.4" thickBot="1" x14ac:dyDescent="0.35">
      <c r="A432" s="2" t="s">
        <v>43</v>
      </c>
      <c r="B432" s="2" t="s">
        <v>21</v>
      </c>
      <c r="C432" s="2" t="s">
        <v>75</v>
      </c>
      <c r="D432" s="2" t="s">
        <v>118</v>
      </c>
      <c r="E432" s="2" t="s">
        <v>77</v>
      </c>
      <c r="F432" s="2" t="s">
        <v>119</v>
      </c>
      <c r="G432" s="2" t="s">
        <v>217</v>
      </c>
      <c r="H432" s="3">
        <v>43931</v>
      </c>
      <c r="I432" s="2" t="s">
        <v>91</v>
      </c>
      <c r="J432" s="2" t="s">
        <v>92</v>
      </c>
      <c r="K432" s="4">
        <v>2020</v>
      </c>
      <c r="L432" s="4">
        <v>3.2959999999999998</v>
      </c>
      <c r="M432" s="4" t="s">
        <v>80</v>
      </c>
      <c r="N432" s="4" t="s">
        <v>47</v>
      </c>
      <c r="O432" s="4" t="s">
        <v>689</v>
      </c>
      <c r="P432" s="4">
        <v>103.824</v>
      </c>
      <c r="Q432" s="12" t="s">
        <v>690</v>
      </c>
      <c r="R432" s="4" t="s">
        <v>691</v>
      </c>
      <c r="S432" s="4" t="s">
        <v>692</v>
      </c>
      <c r="T432" s="4">
        <v>364.20800000000003</v>
      </c>
    </row>
    <row r="433" spans="1:20" ht="15" thickBot="1" x14ac:dyDescent="0.35">
      <c r="A433" s="2" t="s">
        <v>20</v>
      </c>
      <c r="B433" s="2" t="s">
        <v>68</v>
      </c>
      <c r="C433" s="2" t="s">
        <v>120</v>
      </c>
      <c r="D433" s="2" t="s">
        <v>693</v>
      </c>
      <c r="E433" s="2" t="s">
        <v>122</v>
      </c>
      <c r="F433" s="2" t="s">
        <v>378</v>
      </c>
      <c r="G433" s="2" t="s">
        <v>217</v>
      </c>
      <c r="H433" s="3">
        <v>44350</v>
      </c>
      <c r="I433" s="2" t="s">
        <v>205</v>
      </c>
      <c r="J433" s="2" t="s">
        <v>92</v>
      </c>
      <c r="K433" s="4">
        <v>2021</v>
      </c>
      <c r="L433" s="4">
        <v>1.974</v>
      </c>
      <c r="M433" s="4" t="s">
        <v>124</v>
      </c>
      <c r="N433" s="4" t="s">
        <v>30</v>
      </c>
      <c r="O433" s="4">
        <v>371.11200000000002</v>
      </c>
      <c r="P433" s="4">
        <v>25.978000000000002</v>
      </c>
      <c r="Q433" s="12">
        <v>345.13400000000001</v>
      </c>
      <c r="R433" s="4" t="s">
        <v>694</v>
      </c>
      <c r="S433" s="4">
        <v>631.67999999999995</v>
      </c>
      <c r="T433" s="4">
        <v>-286.54599999999999</v>
      </c>
    </row>
    <row r="434" spans="1:20" ht="15" thickBot="1" x14ac:dyDescent="0.35">
      <c r="A434" s="2" t="s">
        <v>49</v>
      </c>
      <c r="B434" s="2" t="s">
        <v>21</v>
      </c>
      <c r="C434" s="2" t="s">
        <v>120</v>
      </c>
      <c r="D434" s="2" t="s">
        <v>272</v>
      </c>
      <c r="E434" s="2" t="s">
        <v>122</v>
      </c>
      <c r="F434" s="2" t="s">
        <v>273</v>
      </c>
      <c r="G434" s="2" t="s">
        <v>217</v>
      </c>
      <c r="H434" s="3">
        <v>44377</v>
      </c>
      <c r="I434" s="2" t="s">
        <v>205</v>
      </c>
      <c r="J434" s="2" t="s">
        <v>92</v>
      </c>
      <c r="K434" s="4">
        <v>2021</v>
      </c>
      <c r="L434" s="4">
        <v>3.4510000000000001</v>
      </c>
      <c r="M434" s="4" t="s">
        <v>124</v>
      </c>
      <c r="N434" s="4" t="s">
        <v>54</v>
      </c>
      <c r="O434" s="4" t="s">
        <v>695</v>
      </c>
      <c r="P434" s="4">
        <v>126.824</v>
      </c>
      <c r="Q434" s="12" t="s">
        <v>696</v>
      </c>
      <c r="R434" s="4" t="s">
        <v>697</v>
      </c>
      <c r="S434" s="4" t="s">
        <v>698</v>
      </c>
      <c r="T434" s="4">
        <v>580.63099999999997</v>
      </c>
    </row>
    <row r="435" spans="1:20" ht="15" thickBot="1" x14ac:dyDescent="0.35">
      <c r="A435" s="2" t="s">
        <v>49</v>
      </c>
      <c r="B435" s="2" t="s">
        <v>68</v>
      </c>
      <c r="C435" s="2" t="s">
        <v>120</v>
      </c>
      <c r="D435" s="2" t="s">
        <v>212</v>
      </c>
      <c r="E435" s="2" t="s">
        <v>122</v>
      </c>
      <c r="F435" s="2" t="s">
        <v>213</v>
      </c>
      <c r="G435" s="2" t="s">
        <v>217</v>
      </c>
      <c r="H435" s="3">
        <v>44169</v>
      </c>
      <c r="I435" s="2" t="s">
        <v>100</v>
      </c>
      <c r="J435" s="2" t="s">
        <v>96</v>
      </c>
      <c r="K435" s="4">
        <v>2020</v>
      </c>
      <c r="L435" s="4">
        <v>1.3420000000000001</v>
      </c>
      <c r="M435" s="4" t="s">
        <v>124</v>
      </c>
      <c r="N435" s="4" t="s">
        <v>165</v>
      </c>
      <c r="O435" s="4">
        <v>40.26</v>
      </c>
      <c r="P435" s="4">
        <v>2.8180000000000001</v>
      </c>
      <c r="Q435" s="12">
        <v>37.442</v>
      </c>
      <c r="R435" s="4" t="s">
        <v>392</v>
      </c>
      <c r="S435" s="4">
        <v>429.44</v>
      </c>
      <c r="T435" s="4">
        <v>-391.99799999999999</v>
      </c>
    </row>
    <row r="436" spans="1:20" ht="29.4" thickBot="1" x14ac:dyDescent="0.35">
      <c r="A436" s="2" t="s">
        <v>43</v>
      </c>
      <c r="B436" s="2" t="s">
        <v>74</v>
      </c>
      <c r="C436" s="2" t="s">
        <v>120</v>
      </c>
      <c r="D436" s="2" t="s">
        <v>699</v>
      </c>
      <c r="E436" s="2" t="s">
        <v>122</v>
      </c>
      <c r="F436" s="2" t="s">
        <v>294</v>
      </c>
      <c r="G436" s="2" t="s">
        <v>217</v>
      </c>
      <c r="H436" s="3">
        <v>44459</v>
      </c>
      <c r="I436" s="2" t="s">
        <v>27</v>
      </c>
      <c r="J436" s="2" t="s">
        <v>28</v>
      </c>
      <c r="K436" s="4">
        <v>2021</v>
      </c>
      <c r="L436" s="4">
        <v>1.6459999999999999</v>
      </c>
      <c r="M436" s="4" t="s">
        <v>124</v>
      </c>
      <c r="N436" s="4" t="s">
        <v>47</v>
      </c>
      <c r="O436" s="4">
        <v>740.7</v>
      </c>
      <c r="P436" s="4">
        <v>51.848999999999997</v>
      </c>
      <c r="Q436" s="12">
        <v>688.851</v>
      </c>
      <c r="R436" s="4" t="s">
        <v>683</v>
      </c>
      <c r="S436" s="4">
        <v>526.72</v>
      </c>
      <c r="T436" s="4">
        <v>162.131</v>
      </c>
    </row>
    <row r="437" spans="1:20" ht="15" thickBot="1" x14ac:dyDescent="0.35">
      <c r="A437" s="2" t="s">
        <v>49</v>
      </c>
      <c r="B437" s="2" t="s">
        <v>44</v>
      </c>
      <c r="C437" s="2" t="s">
        <v>22</v>
      </c>
      <c r="D437" s="2" t="s">
        <v>200</v>
      </c>
      <c r="E437" s="2" t="s">
        <v>24</v>
      </c>
      <c r="F437" s="2" t="s">
        <v>201</v>
      </c>
      <c r="G437" s="2" t="s">
        <v>217</v>
      </c>
      <c r="H437" s="3">
        <v>44489</v>
      </c>
      <c r="I437" s="2" t="s">
        <v>115</v>
      </c>
      <c r="J437" s="2" t="s">
        <v>96</v>
      </c>
      <c r="K437" s="4">
        <v>2021</v>
      </c>
      <c r="L437" s="4">
        <v>586</v>
      </c>
      <c r="M437" s="4" t="s">
        <v>29</v>
      </c>
      <c r="N437" s="4" t="s">
        <v>116</v>
      </c>
      <c r="O437" s="4">
        <v>6.4459999999999997</v>
      </c>
      <c r="P437" s="4">
        <v>516</v>
      </c>
      <c r="Q437" s="12">
        <v>5.93</v>
      </c>
      <c r="R437" s="5">
        <v>41699</v>
      </c>
      <c r="S437" s="4">
        <v>3.516</v>
      </c>
      <c r="T437" s="4">
        <v>2.4140000000000001</v>
      </c>
    </row>
    <row r="438" spans="1:20" ht="15" thickBot="1" x14ac:dyDescent="0.35">
      <c r="A438" s="2" t="s">
        <v>49</v>
      </c>
      <c r="B438" s="2" t="s">
        <v>44</v>
      </c>
      <c r="C438" s="2" t="s">
        <v>22</v>
      </c>
      <c r="D438" s="2" t="s">
        <v>391</v>
      </c>
      <c r="E438" s="2" t="s">
        <v>24</v>
      </c>
      <c r="F438" s="2" t="s">
        <v>310</v>
      </c>
      <c r="G438" s="2" t="s">
        <v>217</v>
      </c>
      <c r="H438" s="3">
        <v>44116</v>
      </c>
      <c r="I438" s="2" t="s">
        <v>115</v>
      </c>
      <c r="J438" s="2" t="s">
        <v>96</v>
      </c>
      <c r="K438" s="4">
        <v>2020</v>
      </c>
      <c r="L438" s="4">
        <v>1.538</v>
      </c>
      <c r="M438" s="4" t="s">
        <v>29</v>
      </c>
      <c r="N438" s="4" t="s">
        <v>165</v>
      </c>
      <c r="O438" s="4">
        <v>46.14</v>
      </c>
      <c r="P438" s="4">
        <v>3.6909999999999998</v>
      </c>
      <c r="Q438" s="12">
        <v>42.448999999999998</v>
      </c>
      <c r="R438" s="4" t="s">
        <v>700</v>
      </c>
      <c r="S438" s="4">
        <v>9.2279999999999998</v>
      </c>
      <c r="T438" s="4">
        <v>33.220999999999997</v>
      </c>
    </row>
    <row r="439" spans="1:20" ht="15" thickBot="1" x14ac:dyDescent="0.35">
      <c r="A439" s="2" t="s">
        <v>49</v>
      </c>
      <c r="B439" s="2" t="s">
        <v>50</v>
      </c>
      <c r="C439" s="2" t="s">
        <v>35</v>
      </c>
      <c r="D439" s="2" t="s">
        <v>51</v>
      </c>
      <c r="E439" s="2" t="s">
        <v>37</v>
      </c>
      <c r="F439" s="2" t="s">
        <v>52</v>
      </c>
      <c r="G439" s="2" t="s">
        <v>217</v>
      </c>
      <c r="H439" s="3">
        <v>44125</v>
      </c>
      <c r="I439" s="2" t="s">
        <v>115</v>
      </c>
      <c r="J439" s="2" t="s">
        <v>96</v>
      </c>
      <c r="K439" s="4">
        <v>2020</v>
      </c>
      <c r="L439" s="4">
        <v>308</v>
      </c>
      <c r="M439" s="4" t="s">
        <v>41</v>
      </c>
      <c r="N439" s="4" t="s">
        <v>116</v>
      </c>
      <c r="O439" s="4">
        <v>3.3879999999999999</v>
      </c>
      <c r="P439" s="4">
        <v>271</v>
      </c>
      <c r="Q439" s="12">
        <v>3.117</v>
      </c>
      <c r="R439" s="5">
        <v>24108</v>
      </c>
      <c r="S439" s="4">
        <v>3.6960000000000002</v>
      </c>
      <c r="T439" s="4">
        <v>-579</v>
      </c>
    </row>
    <row r="440" spans="1:20" ht="29.4" thickBot="1" x14ac:dyDescent="0.35">
      <c r="A440" s="2" t="s">
        <v>49</v>
      </c>
      <c r="B440" s="2" t="s">
        <v>74</v>
      </c>
      <c r="C440" s="2" t="s">
        <v>120</v>
      </c>
      <c r="D440" s="2" t="s">
        <v>270</v>
      </c>
      <c r="E440" s="2" t="s">
        <v>122</v>
      </c>
      <c r="F440" s="2" t="s">
        <v>271</v>
      </c>
      <c r="G440" s="2" t="s">
        <v>217</v>
      </c>
      <c r="H440" s="3">
        <v>44106</v>
      </c>
      <c r="I440" s="2" t="s">
        <v>115</v>
      </c>
      <c r="J440" s="2" t="s">
        <v>96</v>
      </c>
      <c r="K440" s="4">
        <v>2020</v>
      </c>
      <c r="L440" s="4">
        <v>1.538</v>
      </c>
      <c r="M440" s="4" t="s">
        <v>124</v>
      </c>
      <c r="N440" s="4" t="s">
        <v>165</v>
      </c>
      <c r="O440" s="4">
        <v>46.14</v>
      </c>
      <c r="P440" s="4">
        <v>3.6909999999999998</v>
      </c>
      <c r="Q440" s="12">
        <v>42.448999999999998</v>
      </c>
      <c r="R440" s="4" t="s">
        <v>700</v>
      </c>
      <c r="S440" s="4">
        <v>492.16</v>
      </c>
      <c r="T440" s="4">
        <v>-449.71100000000001</v>
      </c>
    </row>
    <row r="441" spans="1:20" ht="15" thickBot="1" x14ac:dyDescent="0.35">
      <c r="A441" s="2" t="s">
        <v>20</v>
      </c>
      <c r="B441" s="2" t="s">
        <v>50</v>
      </c>
      <c r="C441" s="2" t="s">
        <v>82</v>
      </c>
      <c r="D441" s="2" t="s">
        <v>394</v>
      </c>
      <c r="E441" s="2" t="s">
        <v>84</v>
      </c>
      <c r="F441" s="2" t="s">
        <v>313</v>
      </c>
      <c r="G441" s="2" t="s">
        <v>217</v>
      </c>
      <c r="H441" s="3">
        <v>43982</v>
      </c>
      <c r="I441" s="2" t="s">
        <v>142</v>
      </c>
      <c r="J441" s="2" t="s">
        <v>92</v>
      </c>
      <c r="K441" s="4">
        <v>2020</v>
      </c>
      <c r="L441" s="4">
        <v>1.8480000000000001</v>
      </c>
      <c r="M441" s="4" t="s">
        <v>87</v>
      </c>
      <c r="N441" s="4" t="s">
        <v>30</v>
      </c>
      <c r="O441" s="4">
        <v>347.42399999999998</v>
      </c>
      <c r="P441" s="4">
        <v>27.794</v>
      </c>
      <c r="Q441" s="12">
        <v>319.63</v>
      </c>
      <c r="R441" s="4" t="s">
        <v>701</v>
      </c>
      <c r="S441" s="4">
        <v>7.3920000000000003</v>
      </c>
      <c r="T441" s="4">
        <v>312.238</v>
      </c>
    </row>
    <row r="442" spans="1:20" ht="15" thickBot="1" x14ac:dyDescent="0.35">
      <c r="A442" s="2" t="s">
        <v>33</v>
      </c>
      <c r="B442" s="2" t="s">
        <v>34</v>
      </c>
      <c r="C442" s="2" t="s">
        <v>82</v>
      </c>
      <c r="D442" s="2" t="s">
        <v>432</v>
      </c>
      <c r="E442" s="2" t="s">
        <v>84</v>
      </c>
      <c r="F442" s="2" t="s">
        <v>251</v>
      </c>
      <c r="G442" s="2" t="s">
        <v>217</v>
      </c>
      <c r="H442" s="3">
        <v>44202</v>
      </c>
      <c r="I442" s="2" t="s">
        <v>39</v>
      </c>
      <c r="J442" s="2" t="s">
        <v>40</v>
      </c>
      <c r="K442" s="4">
        <v>2021</v>
      </c>
      <c r="L442" s="4">
        <v>588</v>
      </c>
      <c r="M442" s="4" t="s">
        <v>87</v>
      </c>
      <c r="N442" s="4" t="s">
        <v>42</v>
      </c>
      <c r="O442" s="4">
        <v>13.523999999999999</v>
      </c>
      <c r="P442" s="4">
        <v>1.0820000000000001</v>
      </c>
      <c r="Q442" s="12">
        <v>12.442</v>
      </c>
      <c r="R442" s="5">
        <v>27912</v>
      </c>
      <c r="S442" s="4">
        <v>2.3519999999999999</v>
      </c>
      <c r="T442" s="4">
        <v>10.09</v>
      </c>
    </row>
    <row r="443" spans="1:20" ht="15" thickBot="1" x14ac:dyDescent="0.35">
      <c r="A443" s="2" t="s">
        <v>49</v>
      </c>
      <c r="B443" s="2" t="s">
        <v>34</v>
      </c>
      <c r="C443" s="2" t="s">
        <v>82</v>
      </c>
      <c r="D443" s="2" t="s">
        <v>275</v>
      </c>
      <c r="E443" s="2" t="s">
        <v>84</v>
      </c>
      <c r="F443" s="2" t="s">
        <v>276</v>
      </c>
      <c r="G443" s="2" t="s">
        <v>217</v>
      </c>
      <c r="H443" s="3">
        <v>43856</v>
      </c>
      <c r="I443" s="2" t="s">
        <v>39</v>
      </c>
      <c r="J443" s="2" t="s">
        <v>40</v>
      </c>
      <c r="K443" s="4">
        <v>2020</v>
      </c>
      <c r="L443" s="4">
        <v>1.6339999999999999</v>
      </c>
      <c r="M443" s="4" t="s">
        <v>87</v>
      </c>
      <c r="N443" s="4" t="s">
        <v>54</v>
      </c>
      <c r="O443" s="4">
        <v>857.85</v>
      </c>
      <c r="P443" s="4">
        <v>68.628</v>
      </c>
      <c r="Q443" s="12">
        <v>789.22199999999998</v>
      </c>
      <c r="R443" s="4" t="s">
        <v>702</v>
      </c>
      <c r="S443" s="4">
        <v>6.5359999999999996</v>
      </c>
      <c r="T443" s="4">
        <v>782.68600000000004</v>
      </c>
    </row>
    <row r="444" spans="1:20" ht="15" thickBot="1" x14ac:dyDescent="0.35">
      <c r="A444" s="2" t="s">
        <v>33</v>
      </c>
      <c r="B444" s="2" t="s">
        <v>21</v>
      </c>
      <c r="C444" s="2" t="s">
        <v>22</v>
      </c>
      <c r="D444" s="2" t="s">
        <v>703</v>
      </c>
      <c r="E444" s="2" t="s">
        <v>24</v>
      </c>
      <c r="F444" s="2" t="s">
        <v>298</v>
      </c>
      <c r="G444" s="2" t="s">
        <v>217</v>
      </c>
      <c r="H444" s="3">
        <v>44199</v>
      </c>
      <c r="I444" s="2" t="s">
        <v>39</v>
      </c>
      <c r="J444" s="2" t="s">
        <v>40</v>
      </c>
      <c r="K444" s="4">
        <v>2021</v>
      </c>
      <c r="L444" s="4">
        <v>3.0009999999999999</v>
      </c>
      <c r="M444" s="4" t="s">
        <v>29</v>
      </c>
      <c r="N444" s="4" t="s">
        <v>42</v>
      </c>
      <c r="O444" s="4">
        <v>69.022999999999996</v>
      </c>
      <c r="P444" s="4">
        <v>5.5220000000000002</v>
      </c>
      <c r="Q444" s="12">
        <v>63.500999999999998</v>
      </c>
      <c r="R444" s="4" t="s">
        <v>704</v>
      </c>
      <c r="S444" s="4">
        <v>18.006</v>
      </c>
      <c r="T444" s="4">
        <v>45.494999999999997</v>
      </c>
    </row>
    <row r="445" spans="1:20" ht="15" thickBot="1" x14ac:dyDescent="0.35">
      <c r="A445" s="2" t="s">
        <v>49</v>
      </c>
      <c r="B445" s="2" t="s">
        <v>44</v>
      </c>
      <c r="C445" s="2" t="s">
        <v>22</v>
      </c>
      <c r="D445" s="2" t="s">
        <v>200</v>
      </c>
      <c r="E445" s="2" t="s">
        <v>24</v>
      </c>
      <c r="F445" s="2" t="s">
        <v>201</v>
      </c>
      <c r="G445" s="2" t="s">
        <v>217</v>
      </c>
      <c r="H445" s="3">
        <v>44162</v>
      </c>
      <c r="I445" s="2" t="s">
        <v>95</v>
      </c>
      <c r="J445" s="2" t="s">
        <v>96</v>
      </c>
      <c r="K445" s="4">
        <v>2020</v>
      </c>
      <c r="L445" s="4">
        <v>850</v>
      </c>
      <c r="M445" s="4" t="s">
        <v>29</v>
      </c>
      <c r="N445" s="4" t="s">
        <v>165</v>
      </c>
      <c r="O445" s="4">
        <v>25.5</v>
      </c>
      <c r="P445" s="4">
        <v>2.04</v>
      </c>
      <c r="Q445" s="12">
        <v>23.46</v>
      </c>
      <c r="R445" s="6">
        <v>45729</v>
      </c>
      <c r="S445" s="4">
        <v>5.0999999999999996</v>
      </c>
      <c r="T445" s="4">
        <v>18.36</v>
      </c>
    </row>
    <row r="446" spans="1:20" ht="15" thickBot="1" x14ac:dyDescent="0.35">
      <c r="A446" s="2" t="s">
        <v>49</v>
      </c>
      <c r="B446" s="2" t="s">
        <v>59</v>
      </c>
      <c r="C446" s="2" t="s">
        <v>22</v>
      </c>
      <c r="D446" s="2" t="s">
        <v>181</v>
      </c>
      <c r="E446" s="2" t="s">
        <v>24</v>
      </c>
      <c r="F446" s="2" t="s">
        <v>182</v>
      </c>
      <c r="G446" s="2" t="s">
        <v>217</v>
      </c>
      <c r="H446" s="3">
        <v>44423</v>
      </c>
      <c r="I446" s="2" t="s">
        <v>53</v>
      </c>
      <c r="J446" s="2" t="s">
        <v>28</v>
      </c>
      <c r="K446" s="4">
        <v>2021</v>
      </c>
      <c r="L446" s="4">
        <v>774</v>
      </c>
      <c r="M446" s="4" t="s">
        <v>29</v>
      </c>
      <c r="N446" s="4" t="s">
        <v>165</v>
      </c>
      <c r="O446" s="4">
        <v>23.22</v>
      </c>
      <c r="P446" s="4">
        <v>1.8580000000000001</v>
      </c>
      <c r="Q446" s="12">
        <v>21.361999999999998</v>
      </c>
      <c r="R446" s="5">
        <v>32082</v>
      </c>
      <c r="S446" s="4">
        <v>4.6440000000000001</v>
      </c>
      <c r="T446" s="4">
        <v>16.718</v>
      </c>
    </row>
    <row r="447" spans="1:20" ht="29.4" thickBot="1" x14ac:dyDescent="0.35">
      <c r="A447" s="2" t="s">
        <v>43</v>
      </c>
      <c r="B447" s="2" t="s">
        <v>64</v>
      </c>
      <c r="C447" s="2" t="s">
        <v>22</v>
      </c>
      <c r="D447" s="2" t="s">
        <v>317</v>
      </c>
      <c r="E447" s="2" t="s">
        <v>24</v>
      </c>
      <c r="F447" s="2" t="s">
        <v>318</v>
      </c>
      <c r="G447" s="2" t="s">
        <v>217</v>
      </c>
      <c r="H447" s="3">
        <v>44388</v>
      </c>
      <c r="I447" s="2" t="s">
        <v>62</v>
      </c>
      <c r="J447" s="2" t="s">
        <v>28</v>
      </c>
      <c r="K447" s="4">
        <v>2021</v>
      </c>
      <c r="L447" s="4">
        <v>1.8740000000000001</v>
      </c>
      <c r="M447" s="4" t="s">
        <v>29</v>
      </c>
      <c r="N447" s="4" t="s">
        <v>47</v>
      </c>
      <c r="O447" s="4">
        <v>843.3</v>
      </c>
      <c r="P447" s="4">
        <v>67.463999999999999</v>
      </c>
      <c r="Q447" s="12">
        <v>775.83600000000001</v>
      </c>
      <c r="R447" s="4" t="s">
        <v>705</v>
      </c>
      <c r="S447" s="4">
        <v>11.244</v>
      </c>
      <c r="T447" s="4">
        <v>764.59199999999998</v>
      </c>
    </row>
    <row r="448" spans="1:20" ht="15" thickBot="1" x14ac:dyDescent="0.35">
      <c r="A448" s="2" t="s">
        <v>33</v>
      </c>
      <c r="B448" s="2" t="s">
        <v>59</v>
      </c>
      <c r="C448" s="2" t="s">
        <v>22</v>
      </c>
      <c r="D448" s="2" t="s">
        <v>440</v>
      </c>
      <c r="E448" s="2" t="s">
        <v>24</v>
      </c>
      <c r="F448" s="2" t="s">
        <v>338</v>
      </c>
      <c r="G448" s="2" t="s">
        <v>217</v>
      </c>
      <c r="H448" s="3">
        <v>44369</v>
      </c>
      <c r="I448" s="2" t="s">
        <v>205</v>
      </c>
      <c r="J448" s="2" t="s">
        <v>92</v>
      </c>
      <c r="K448" s="4">
        <v>2021</v>
      </c>
      <c r="L448" s="4">
        <v>853</v>
      </c>
      <c r="M448" s="4" t="s">
        <v>29</v>
      </c>
      <c r="N448" s="4" t="s">
        <v>42</v>
      </c>
      <c r="O448" s="4">
        <v>19.619</v>
      </c>
      <c r="P448" s="4">
        <v>1.57</v>
      </c>
      <c r="Q448" s="12">
        <v>18.048999999999999</v>
      </c>
      <c r="R448" s="5">
        <v>29830</v>
      </c>
      <c r="S448" s="4">
        <v>5.1180000000000003</v>
      </c>
      <c r="T448" s="4">
        <v>12.930999999999999</v>
      </c>
    </row>
    <row r="449" spans="1:20" ht="15" thickBot="1" x14ac:dyDescent="0.35">
      <c r="A449" s="2" t="s">
        <v>20</v>
      </c>
      <c r="B449" s="2" t="s">
        <v>74</v>
      </c>
      <c r="C449" s="2" t="s">
        <v>35</v>
      </c>
      <c r="D449" s="2" t="s">
        <v>140</v>
      </c>
      <c r="E449" s="2" t="s">
        <v>37</v>
      </c>
      <c r="F449" s="2" t="s">
        <v>141</v>
      </c>
      <c r="G449" s="2" t="s">
        <v>217</v>
      </c>
      <c r="H449" s="3">
        <v>44509</v>
      </c>
      <c r="I449" s="2" t="s">
        <v>95</v>
      </c>
      <c r="J449" s="2" t="s">
        <v>96</v>
      </c>
      <c r="K449" s="4">
        <v>2021</v>
      </c>
      <c r="L449" s="4">
        <v>1.337</v>
      </c>
      <c r="M449" s="4" t="s">
        <v>41</v>
      </c>
      <c r="N449" s="4" t="s">
        <v>30</v>
      </c>
      <c r="O449" s="4">
        <v>251.35599999999999</v>
      </c>
      <c r="P449" s="4">
        <v>20.108000000000001</v>
      </c>
      <c r="Q449" s="12">
        <v>231.24799999999999</v>
      </c>
      <c r="R449" s="4" t="s">
        <v>706</v>
      </c>
      <c r="S449" s="4">
        <v>16.044</v>
      </c>
      <c r="T449" s="4">
        <v>215.20400000000001</v>
      </c>
    </row>
    <row r="450" spans="1:20" ht="15" thickBot="1" x14ac:dyDescent="0.35">
      <c r="A450" s="2" t="s">
        <v>49</v>
      </c>
      <c r="B450" s="2" t="s">
        <v>74</v>
      </c>
      <c r="C450" s="2" t="s">
        <v>35</v>
      </c>
      <c r="D450" s="2" t="s">
        <v>293</v>
      </c>
      <c r="E450" s="2" t="s">
        <v>37</v>
      </c>
      <c r="F450" s="2" t="s">
        <v>294</v>
      </c>
      <c r="G450" s="2" t="s">
        <v>217</v>
      </c>
      <c r="H450" s="3">
        <v>44389</v>
      </c>
      <c r="I450" s="2" t="s">
        <v>62</v>
      </c>
      <c r="J450" s="2" t="s">
        <v>28</v>
      </c>
      <c r="K450" s="4">
        <v>2021</v>
      </c>
      <c r="L450" s="4">
        <v>1.5109999999999999</v>
      </c>
      <c r="M450" s="4" t="s">
        <v>41</v>
      </c>
      <c r="N450" s="4" t="s">
        <v>116</v>
      </c>
      <c r="O450" s="4">
        <v>16.620999999999999</v>
      </c>
      <c r="P450" s="4">
        <v>1.33</v>
      </c>
      <c r="Q450" s="12">
        <v>15.291</v>
      </c>
      <c r="R450" s="6">
        <v>45969</v>
      </c>
      <c r="S450" s="4">
        <v>18.132000000000001</v>
      </c>
      <c r="T450" s="4">
        <v>-2.8410000000000002</v>
      </c>
    </row>
    <row r="451" spans="1:20" ht="15" thickBot="1" x14ac:dyDescent="0.35">
      <c r="A451" s="2" t="s">
        <v>49</v>
      </c>
      <c r="B451" s="2" t="s">
        <v>74</v>
      </c>
      <c r="C451" s="2" t="s">
        <v>35</v>
      </c>
      <c r="D451" s="2" t="s">
        <v>293</v>
      </c>
      <c r="E451" s="2" t="s">
        <v>37</v>
      </c>
      <c r="F451" s="2" t="s">
        <v>294</v>
      </c>
      <c r="G451" s="2" t="s">
        <v>217</v>
      </c>
      <c r="H451" s="3">
        <v>44102</v>
      </c>
      <c r="I451" s="2" t="s">
        <v>27</v>
      </c>
      <c r="J451" s="2" t="s">
        <v>28</v>
      </c>
      <c r="K451" s="4">
        <v>2020</v>
      </c>
      <c r="L451" s="4">
        <v>1.3140000000000001</v>
      </c>
      <c r="M451" s="4" t="s">
        <v>41</v>
      </c>
      <c r="N451" s="4" t="s">
        <v>116</v>
      </c>
      <c r="O451" s="4">
        <v>14.454000000000001</v>
      </c>
      <c r="P451" s="4">
        <v>1.1559999999999999</v>
      </c>
      <c r="Q451" s="12">
        <v>13.298</v>
      </c>
      <c r="R451" s="6">
        <v>45784</v>
      </c>
      <c r="S451" s="4">
        <v>15.768000000000001</v>
      </c>
      <c r="T451" s="4">
        <v>-2.4700000000000002</v>
      </c>
    </row>
    <row r="452" spans="1:20" ht="15" thickBot="1" x14ac:dyDescent="0.35">
      <c r="A452" s="2" t="s">
        <v>49</v>
      </c>
      <c r="B452" s="2" t="s">
        <v>74</v>
      </c>
      <c r="C452" s="2" t="s">
        <v>35</v>
      </c>
      <c r="D452" s="2" t="s">
        <v>293</v>
      </c>
      <c r="E452" s="2" t="s">
        <v>37</v>
      </c>
      <c r="F452" s="2" t="s">
        <v>294</v>
      </c>
      <c r="G452" s="2" t="s">
        <v>217</v>
      </c>
      <c r="H452" s="3">
        <v>43894</v>
      </c>
      <c r="I452" s="2" t="s">
        <v>112</v>
      </c>
      <c r="J452" s="2" t="s">
        <v>40</v>
      </c>
      <c r="K452" s="4">
        <v>2020</v>
      </c>
      <c r="L452" s="4">
        <v>1.639</v>
      </c>
      <c r="M452" s="4" t="s">
        <v>41</v>
      </c>
      <c r="N452" s="4" t="s">
        <v>165</v>
      </c>
      <c r="O452" s="4">
        <v>49.17</v>
      </c>
      <c r="P452" s="4">
        <v>3.9340000000000002</v>
      </c>
      <c r="Q452" s="12">
        <v>45.235999999999997</v>
      </c>
      <c r="R452" s="4" t="s">
        <v>707</v>
      </c>
      <c r="S452" s="4">
        <v>19.667999999999999</v>
      </c>
      <c r="T452" s="4">
        <v>25.568000000000001</v>
      </c>
    </row>
    <row r="453" spans="1:20" ht="29.4" thickBot="1" x14ac:dyDescent="0.35">
      <c r="A453" s="2" t="s">
        <v>43</v>
      </c>
      <c r="B453" s="2" t="s">
        <v>44</v>
      </c>
      <c r="C453" s="2" t="s">
        <v>35</v>
      </c>
      <c r="D453" s="2" t="s">
        <v>45</v>
      </c>
      <c r="E453" s="2" t="s">
        <v>37</v>
      </c>
      <c r="F453" s="2" t="s">
        <v>46</v>
      </c>
      <c r="G453" s="2" t="s">
        <v>217</v>
      </c>
      <c r="H453" s="3">
        <v>44039</v>
      </c>
      <c r="I453" s="2" t="s">
        <v>62</v>
      </c>
      <c r="J453" s="2" t="s">
        <v>28</v>
      </c>
      <c r="K453" s="4">
        <v>2020</v>
      </c>
      <c r="L453" s="4">
        <v>2.952</v>
      </c>
      <c r="M453" s="4" t="s">
        <v>41</v>
      </c>
      <c r="N453" s="4" t="s">
        <v>47</v>
      </c>
      <c r="O453" s="4" t="s">
        <v>708</v>
      </c>
      <c r="P453" s="4">
        <v>106.27200000000001</v>
      </c>
      <c r="Q453" s="12" t="s">
        <v>709</v>
      </c>
      <c r="R453" s="4" t="s">
        <v>710</v>
      </c>
      <c r="S453" s="4">
        <v>35.423999999999999</v>
      </c>
      <c r="T453" s="4" t="s">
        <v>711</v>
      </c>
    </row>
    <row r="454" spans="1:20" ht="15" thickBot="1" x14ac:dyDescent="0.35">
      <c r="A454" s="2" t="s">
        <v>49</v>
      </c>
      <c r="B454" s="2" t="s">
        <v>44</v>
      </c>
      <c r="C454" s="2" t="s">
        <v>35</v>
      </c>
      <c r="D454" s="2" t="s">
        <v>150</v>
      </c>
      <c r="E454" s="2" t="s">
        <v>37</v>
      </c>
      <c r="F454" s="2" t="s">
        <v>151</v>
      </c>
      <c r="G454" s="2" t="s">
        <v>217</v>
      </c>
      <c r="H454" s="3">
        <v>43911</v>
      </c>
      <c r="I454" s="2" t="s">
        <v>112</v>
      </c>
      <c r="J454" s="2" t="s">
        <v>40</v>
      </c>
      <c r="K454" s="4">
        <v>2020</v>
      </c>
      <c r="L454" s="4">
        <v>814</v>
      </c>
      <c r="M454" s="4" t="s">
        <v>41</v>
      </c>
      <c r="N454" s="4" t="s">
        <v>116</v>
      </c>
      <c r="O454" s="4">
        <v>8.9540000000000006</v>
      </c>
      <c r="P454" s="4">
        <v>716</v>
      </c>
      <c r="Q454" s="12">
        <v>8.2379999999999995</v>
      </c>
      <c r="R454" s="5">
        <v>13606</v>
      </c>
      <c r="S454" s="4">
        <v>9.7680000000000007</v>
      </c>
      <c r="T454" s="4">
        <v>-1.53</v>
      </c>
    </row>
    <row r="455" spans="1:20" ht="15" thickBot="1" x14ac:dyDescent="0.35">
      <c r="A455" s="2" t="s">
        <v>49</v>
      </c>
      <c r="B455" s="2" t="s">
        <v>74</v>
      </c>
      <c r="C455" s="2" t="s">
        <v>35</v>
      </c>
      <c r="D455" s="2" t="s">
        <v>293</v>
      </c>
      <c r="E455" s="2" t="s">
        <v>37</v>
      </c>
      <c r="F455" s="2" t="s">
        <v>294</v>
      </c>
      <c r="G455" s="2" t="s">
        <v>217</v>
      </c>
      <c r="H455" s="3">
        <v>44141</v>
      </c>
      <c r="I455" s="2" t="s">
        <v>95</v>
      </c>
      <c r="J455" s="2" t="s">
        <v>96</v>
      </c>
      <c r="K455" s="4">
        <v>2020</v>
      </c>
      <c r="L455" s="4">
        <v>1.9179999999999999</v>
      </c>
      <c r="M455" s="4" t="s">
        <v>41</v>
      </c>
      <c r="N455" s="4" t="s">
        <v>116</v>
      </c>
      <c r="O455" s="4">
        <v>21.097999999999999</v>
      </c>
      <c r="P455" s="4">
        <v>1.6879999999999999</v>
      </c>
      <c r="Q455" s="12">
        <v>19.41</v>
      </c>
      <c r="R455" s="5">
        <v>47392</v>
      </c>
      <c r="S455" s="4">
        <v>23.015999999999998</v>
      </c>
      <c r="T455" s="4">
        <v>-3.6059999999999999</v>
      </c>
    </row>
    <row r="456" spans="1:20" ht="15" thickBot="1" x14ac:dyDescent="0.35">
      <c r="A456" s="2" t="s">
        <v>49</v>
      </c>
      <c r="B456" s="2" t="s">
        <v>74</v>
      </c>
      <c r="C456" s="2" t="s">
        <v>35</v>
      </c>
      <c r="D456" s="2" t="s">
        <v>293</v>
      </c>
      <c r="E456" s="2" t="s">
        <v>37</v>
      </c>
      <c r="F456" s="2" t="s">
        <v>294</v>
      </c>
      <c r="G456" s="2" t="s">
        <v>217</v>
      </c>
      <c r="H456" s="3">
        <v>43863</v>
      </c>
      <c r="I456" s="2" t="s">
        <v>79</v>
      </c>
      <c r="J456" s="2" t="s">
        <v>40</v>
      </c>
      <c r="K456" s="4">
        <v>2020</v>
      </c>
      <c r="L456" s="4">
        <v>2.3210000000000002</v>
      </c>
      <c r="M456" s="4" t="s">
        <v>41</v>
      </c>
      <c r="N456" s="4" t="s">
        <v>165</v>
      </c>
      <c r="O456" s="4">
        <v>69.63</v>
      </c>
      <c r="P456" s="4">
        <v>5.57</v>
      </c>
      <c r="Q456" s="12">
        <v>64.06</v>
      </c>
      <c r="R456" s="4" t="s">
        <v>712</v>
      </c>
      <c r="S456" s="4">
        <v>27.852</v>
      </c>
      <c r="T456" s="4">
        <v>36.207999999999998</v>
      </c>
    </row>
    <row r="457" spans="1:20" ht="15" thickBot="1" x14ac:dyDescent="0.35">
      <c r="A457" s="2" t="s">
        <v>49</v>
      </c>
      <c r="B457" s="2" t="s">
        <v>74</v>
      </c>
      <c r="C457" s="2" t="s">
        <v>35</v>
      </c>
      <c r="D457" s="2" t="s">
        <v>191</v>
      </c>
      <c r="E457" s="2" t="s">
        <v>37</v>
      </c>
      <c r="F457" s="2" t="s">
        <v>192</v>
      </c>
      <c r="G457" s="2" t="s">
        <v>217</v>
      </c>
      <c r="H457" s="3">
        <v>43842</v>
      </c>
      <c r="I457" s="2" t="s">
        <v>39</v>
      </c>
      <c r="J457" s="2" t="s">
        <v>40</v>
      </c>
      <c r="K457" s="4">
        <v>2020</v>
      </c>
      <c r="L457" s="4">
        <v>3.5920000000000001</v>
      </c>
      <c r="M457" s="4" t="s">
        <v>41</v>
      </c>
      <c r="N457" s="4" t="s">
        <v>165</v>
      </c>
      <c r="O457" s="4">
        <v>107.76</v>
      </c>
      <c r="P457" s="4">
        <v>8.6210000000000004</v>
      </c>
      <c r="Q457" s="12">
        <v>99.138999999999996</v>
      </c>
      <c r="R457" s="4" t="s">
        <v>713</v>
      </c>
      <c r="S457" s="4">
        <v>43.103999999999999</v>
      </c>
      <c r="T457" s="4">
        <v>56.034999999999997</v>
      </c>
    </row>
    <row r="458" spans="1:20" ht="15" thickBot="1" x14ac:dyDescent="0.35">
      <c r="A458" s="2" t="s">
        <v>49</v>
      </c>
      <c r="B458" s="2" t="s">
        <v>74</v>
      </c>
      <c r="C458" s="2" t="s">
        <v>35</v>
      </c>
      <c r="D458" s="2" t="s">
        <v>191</v>
      </c>
      <c r="E458" s="2" t="s">
        <v>37</v>
      </c>
      <c r="F458" s="2" t="s">
        <v>192</v>
      </c>
      <c r="G458" s="2" t="s">
        <v>217</v>
      </c>
      <c r="H458" s="3">
        <v>44451</v>
      </c>
      <c r="I458" s="2" t="s">
        <v>27</v>
      </c>
      <c r="J458" s="2" t="s">
        <v>28</v>
      </c>
      <c r="K458" s="4">
        <v>2021</v>
      </c>
      <c r="L458" s="4">
        <v>1.6339999999999999</v>
      </c>
      <c r="M458" s="4" t="s">
        <v>41</v>
      </c>
      <c r="N458" s="4" t="s">
        <v>54</v>
      </c>
      <c r="O458" s="4">
        <v>857.85</v>
      </c>
      <c r="P458" s="4">
        <v>68.628</v>
      </c>
      <c r="Q458" s="12">
        <v>789.22199999999998</v>
      </c>
      <c r="R458" s="4" t="s">
        <v>702</v>
      </c>
      <c r="S458" s="4">
        <v>19.608000000000001</v>
      </c>
      <c r="T458" s="4">
        <v>769.61400000000003</v>
      </c>
    </row>
    <row r="459" spans="1:20" ht="29.4" thickBot="1" x14ac:dyDescent="0.35">
      <c r="A459" s="2" t="s">
        <v>58</v>
      </c>
      <c r="B459" s="2" t="s">
        <v>59</v>
      </c>
      <c r="C459" s="2" t="s">
        <v>69</v>
      </c>
      <c r="D459" s="2" t="s">
        <v>614</v>
      </c>
      <c r="E459" s="2" t="s">
        <v>71</v>
      </c>
      <c r="F459" s="2" t="s">
        <v>338</v>
      </c>
      <c r="G459" s="2" t="s">
        <v>217</v>
      </c>
      <c r="H459" s="3">
        <v>43955</v>
      </c>
      <c r="I459" s="2" t="s">
        <v>142</v>
      </c>
      <c r="J459" s="2" t="s">
        <v>92</v>
      </c>
      <c r="K459" s="4">
        <v>2020</v>
      </c>
      <c r="L459" s="4">
        <v>718</v>
      </c>
      <c r="M459" s="4" t="s">
        <v>73</v>
      </c>
      <c r="N459" s="4" t="s">
        <v>63</v>
      </c>
      <c r="O459" s="4">
        <v>12.923999999999999</v>
      </c>
      <c r="P459" s="4">
        <v>1.034</v>
      </c>
      <c r="Q459" s="12">
        <v>11.89</v>
      </c>
      <c r="R459" s="5">
        <v>22068</v>
      </c>
      <c r="S459" s="4">
        <v>106.264</v>
      </c>
      <c r="T459" s="4">
        <v>-94.373999999999995</v>
      </c>
    </row>
    <row r="460" spans="1:20" ht="15" thickBot="1" x14ac:dyDescent="0.35">
      <c r="A460" s="2" t="s">
        <v>49</v>
      </c>
      <c r="B460" s="2" t="s">
        <v>21</v>
      </c>
      <c r="C460" s="2" t="s">
        <v>69</v>
      </c>
      <c r="D460" s="2" t="s">
        <v>194</v>
      </c>
      <c r="E460" s="2" t="s">
        <v>71</v>
      </c>
      <c r="F460" s="2" t="s">
        <v>195</v>
      </c>
      <c r="G460" s="2" t="s">
        <v>217</v>
      </c>
      <c r="H460" s="3">
        <v>44425</v>
      </c>
      <c r="I460" s="2" t="s">
        <v>53</v>
      </c>
      <c r="J460" s="2" t="s">
        <v>28</v>
      </c>
      <c r="K460" s="4">
        <v>2021</v>
      </c>
      <c r="L460" s="4">
        <v>3.488</v>
      </c>
      <c r="M460" s="4" t="s">
        <v>73</v>
      </c>
      <c r="N460" s="4" t="s">
        <v>116</v>
      </c>
      <c r="O460" s="4">
        <v>38.368000000000002</v>
      </c>
      <c r="P460" s="4">
        <v>3.069</v>
      </c>
      <c r="Q460" s="12">
        <v>35.298999999999999</v>
      </c>
      <c r="R460" s="4" t="s">
        <v>714</v>
      </c>
      <c r="S460" s="4">
        <v>516.22400000000005</v>
      </c>
      <c r="T460" s="4">
        <v>-480.92500000000001</v>
      </c>
    </row>
    <row r="461" spans="1:20" ht="15" thickBot="1" x14ac:dyDescent="0.35">
      <c r="A461" s="2" t="s">
        <v>49</v>
      </c>
      <c r="B461" s="2" t="s">
        <v>50</v>
      </c>
      <c r="C461" s="2" t="s">
        <v>69</v>
      </c>
      <c r="D461" s="2" t="s">
        <v>153</v>
      </c>
      <c r="E461" s="2" t="s">
        <v>71</v>
      </c>
      <c r="F461" s="2" t="s">
        <v>154</v>
      </c>
      <c r="G461" s="2" t="s">
        <v>217</v>
      </c>
      <c r="H461" s="3">
        <v>44017</v>
      </c>
      <c r="I461" s="2" t="s">
        <v>62</v>
      </c>
      <c r="J461" s="2" t="s">
        <v>28</v>
      </c>
      <c r="K461" s="4">
        <v>2020</v>
      </c>
      <c r="L461" s="4">
        <v>2.806</v>
      </c>
      <c r="M461" s="4" t="s">
        <v>73</v>
      </c>
      <c r="N461" s="4" t="s">
        <v>116</v>
      </c>
      <c r="O461" s="4">
        <v>30.866</v>
      </c>
      <c r="P461" s="4">
        <v>2.4689999999999999</v>
      </c>
      <c r="Q461" s="12">
        <v>28.396999999999998</v>
      </c>
      <c r="R461" s="6">
        <v>45823</v>
      </c>
      <c r="S461" s="4">
        <v>415.28800000000001</v>
      </c>
      <c r="T461" s="4">
        <v>-386.89100000000002</v>
      </c>
    </row>
    <row r="462" spans="1:20" ht="29.4" thickBot="1" x14ac:dyDescent="0.35">
      <c r="A462" s="2" t="s">
        <v>43</v>
      </c>
      <c r="B462" s="2" t="s">
        <v>21</v>
      </c>
      <c r="C462" s="2" t="s">
        <v>69</v>
      </c>
      <c r="D462" s="2" t="s">
        <v>384</v>
      </c>
      <c r="E462" s="2" t="s">
        <v>71</v>
      </c>
      <c r="F462" s="2" t="s">
        <v>385</v>
      </c>
      <c r="G462" s="2" t="s">
        <v>217</v>
      </c>
      <c r="H462" s="3">
        <v>44054</v>
      </c>
      <c r="I462" s="2" t="s">
        <v>53</v>
      </c>
      <c r="J462" s="2" t="s">
        <v>28</v>
      </c>
      <c r="K462" s="4">
        <v>2020</v>
      </c>
      <c r="L462" s="4">
        <v>762</v>
      </c>
      <c r="M462" s="4" t="s">
        <v>73</v>
      </c>
      <c r="N462" s="4" t="s">
        <v>47</v>
      </c>
      <c r="O462" s="4">
        <v>342.9</v>
      </c>
      <c r="P462" s="4">
        <v>27.431999999999999</v>
      </c>
      <c r="Q462" s="12">
        <v>315.46800000000002</v>
      </c>
      <c r="R462" s="4" t="s">
        <v>715</v>
      </c>
      <c r="S462" s="4">
        <v>112.776</v>
      </c>
      <c r="T462" s="4">
        <v>202.69200000000001</v>
      </c>
    </row>
    <row r="463" spans="1:20" ht="15" thickBot="1" x14ac:dyDescent="0.35">
      <c r="A463" s="2" t="s">
        <v>49</v>
      </c>
      <c r="B463" s="2" t="s">
        <v>74</v>
      </c>
      <c r="C463" s="2" t="s">
        <v>75</v>
      </c>
      <c r="D463" s="2" t="s">
        <v>76</v>
      </c>
      <c r="E463" s="2" t="s">
        <v>77</v>
      </c>
      <c r="F463" s="2" t="s">
        <v>78</v>
      </c>
      <c r="G463" s="2" t="s">
        <v>217</v>
      </c>
      <c r="H463" s="3">
        <v>44249</v>
      </c>
      <c r="I463" s="2" t="s">
        <v>79</v>
      </c>
      <c r="J463" s="2" t="s">
        <v>40</v>
      </c>
      <c r="K463" s="4">
        <v>2021</v>
      </c>
      <c r="L463" s="4">
        <v>689</v>
      </c>
      <c r="M463" s="4" t="s">
        <v>80</v>
      </c>
      <c r="N463" s="4" t="s">
        <v>54</v>
      </c>
      <c r="O463" s="4">
        <v>361.72500000000002</v>
      </c>
      <c r="P463" s="4">
        <v>28.937999999999999</v>
      </c>
      <c r="Q463" s="12">
        <v>332.78699999999998</v>
      </c>
      <c r="R463" s="4" t="s">
        <v>716</v>
      </c>
      <c r="S463" s="4">
        <v>212.21199999999999</v>
      </c>
      <c r="T463" s="4">
        <v>120.575</v>
      </c>
    </row>
    <row r="464" spans="1:20" ht="15" thickBot="1" x14ac:dyDescent="0.35">
      <c r="A464" s="2" t="s">
        <v>49</v>
      </c>
      <c r="B464" s="2" t="s">
        <v>74</v>
      </c>
      <c r="C464" s="2" t="s">
        <v>75</v>
      </c>
      <c r="D464" s="2" t="s">
        <v>244</v>
      </c>
      <c r="E464" s="2" t="s">
        <v>77</v>
      </c>
      <c r="F464" s="2" t="s">
        <v>245</v>
      </c>
      <c r="G464" s="2" t="s">
        <v>217</v>
      </c>
      <c r="H464" s="3">
        <v>44482</v>
      </c>
      <c r="I464" s="2" t="s">
        <v>115</v>
      </c>
      <c r="J464" s="2" t="s">
        <v>96</v>
      </c>
      <c r="K464" s="4">
        <v>2021</v>
      </c>
      <c r="L464" s="4">
        <v>2.806</v>
      </c>
      <c r="M464" s="4" t="s">
        <v>80</v>
      </c>
      <c r="N464" s="4" t="s">
        <v>116</v>
      </c>
      <c r="O464" s="4">
        <v>30.866</v>
      </c>
      <c r="P464" s="4">
        <v>2.4689999999999999</v>
      </c>
      <c r="Q464" s="12">
        <v>28.396999999999998</v>
      </c>
      <c r="R464" s="6">
        <v>45823</v>
      </c>
      <c r="S464" s="4">
        <v>864.24800000000005</v>
      </c>
      <c r="T464" s="4">
        <v>-835.851</v>
      </c>
    </row>
    <row r="465" spans="1:20" ht="15" thickBot="1" x14ac:dyDescent="0.35">
      <c r="A465" s="2" t="s">
        <v>49</v>
      </c>
      <c r="B465" s="2" t="s">
        <v>74</v>
      </c>
      <c r="C465" s="2" t="s">
        <v>75</v>
      </c>
      <c r="D465" s="2" t="s">
        <v>76</v>
      </c>
      <c r="E465" s="2" t="s">
        <v>77</v>
      </c>
      <c r="F465" s="2" t="s">
        <v>78</v>
      </c>
      <c r="G465" s="2" t="s">
        <v>217</v>
      </c>
      <c r="H465" s="3">
        <v>44275</v>
      </c>
      <c r="I465" s="2" t="s">
        <v>112</v>
      </c>
      <c r="J465" s="2" t="s">
        <v>40</v>
      </c>
      <c r="K465" s="4">
        <v>2021</v>
      </c>
      <c r="L465" s="4">
        <v>457</v>
      </c>
      <c r="M465" s="4" t="s">
        <v>80</v>
      </c>
      <c r="N465" s="4" t="s">
        <v>54</v>
      </c>
      <c r="O465" s="4">
        <v>239.92500000000001</v>
      </c>
      <c r="P465" s="4">
        <v>19.193999999999999</v>
      </c>
      <c r="Q465" s="12">
        <v>220.73099999999999</v>
      </c>
      <c r="R465" s="4" t="s">
        <v>717</v>
      </c>
      <c r="S465" s="4">
        <v>140.756</v>
      </c>
      <c r="T465" s="4">
        <v>79.974999999999994</v>
      </c>
    </row>
    <row r="466" spans="1:20" ht="15" thickBot="1" x14ac:dyDescent="0.35">
      <c r="A466" s="2" t="s">
        <v>49</v>
      </c>
      <c r="B466" s="2" t="s">
        <v>74</v>
      </c>
      <c r="C466" s="2" t="s">
        <v>75</v>
      </c>
      <c r="D466" s="2" t="s">
        <v>244</v>
      </c>
      <c r="E466" s="2" t="s">
        <v>77</v>
      </c>
      <c r="F466" s="2" t="s">
        <v>245</v>
      </c>
      <c r="G466" s="2" t="s">
        <v>217</v>
      </c>
      <c r="H466" s="3">
        <v>44414</v>
      </c>
      <c r="I466" s="2" t="s">
        <v>53</v>
      </c>
      <c r="J466" s="2" t="s">
        <v>28</v>
      </c>
      <c r="K466" s="4">
        <v>2021</v>
      </c>
      <c r="L466" s="4">
        <v>506</v>
      </c>
      <c r="M466" s="4" t="s">
        <v>80</v>
      </c>
      <c r="N466" s="4" t="s">
        <v>54</v>
      </c>
      <c r="O466" s="4">
        <v>265.64999999999998</v>
      </c>
      <c r="P466" s="4">
        <v>21.251999999999999</v>
      </c>
      <c r="Q466" s="12">
        <v>244.398</v>
      </c>
      <c r="R466" s="4" t="s">
        <v>718</v>
      </c>
      <c r="S466" s="4">
        <v>155.84800000000001</v>
      </c>
      <c r="T466" s="4">
        <v>88.55</v>
      </c>
    </row>
    <row r="467" spans="1:20" ht="29.4" thickBot="1" x14ac:dyDescent="0.35">
      <c r="A467" s="2" t="s">
        <v>43</v>
      </c>
      <c r="B467" s="2" t="s">
        <v>68</v>
      </c>
      <c r="C467" s="2" t="s">
        <v>75</v>
      </c>
      <c r="D467" s="2" t="s">
        <v>265</v>
      </c>
      <c r="E467" s="2" t="s">
        <v>77</v>
      </c>
      <c r="F467" s="2" t="s">
        <v>266</v>
      </c>
      <c r="G467" s="2" t="s">
        <v>217</v>
      </c>
      <c r="H467" s="3">
        <v>44275</v>
      </c>
      <c r="I467" s="2" t="s">
        <v>112</v>
      </c>
      <c r="J467" s="2" t="s">
        <v>40</v>
      </c>
      <c r="K467" s="4">
        <v>2021</v>
      </c>
      <c r="L467" s="4">
        <v>2.5609999999999999</v>
      </c>
      <c r="M467" s="4" t="s">
        <v>80</v>
      </c>
      <c r="N467" s="4" t="s">
        <v>47</v>
      </c>
      <c r="O467" s="4" t="s">
        <v>719</v>
      </c>
      <c r="P467" s="4">
        <v>92.195999999999998</v>
      </c>
      <c r="Q467" s="12" t="s">
        <v>720</v>
      </c>
      <c r="R467" s="4" t="s">
        <v>721</v>
      </c>
      <c r="S467" s="4">
        <v>788.78800000000001</v>
      </c>
      <c r="T467" s="4">
        <v>271.46600000000001</v>
      </c>
    </row>
    <row r="468" spans="1:20" ht="15" thickBot="1" x14ac:dyDescent="0.35">
      <c r="A468" s="2" t="s">
        <v>49</v>
      </c>
      <c r="B468" s="2" t="s">
        <v>68</v>
      </c>
      <c r="C468" s="2" t="s">
        <v>120</v>
      </c>
      <c r="D468" s="2" t="s">
        <v>212</v>
      </c>
      <c r="E468" s="2" t="s">
        <v>122</v>
      </c>
      <c r="F468" s="2" t="s">
        <v>213</v>
      </c>
      <c r="G468" s="2" t="s">
        <v>217</v>
      </c>
      <c r="H468" s="3">
        <v>43940</v>
      </c>
      <c r="I468" s="2" t="s">
        <v>91</v>
      </c>
      <c r="J468" s="2" t="s">
        <v>92</v>
      </c>
      <c r="K468" s="4">
        <v>2020</v>
      </c>
      <c r="L468" s="4">
        <v>850</v>
      </c>
      <c r="M468" s="4" t="s">
        <v>124</v>
      </c>
      <c r="N468" s="4" t="s">
        <v>165</v>
      </c>
      <c r="O468" s="4">
        <v>25.5</v>
      </c>
      <c r="P468" s="4">
        <v>2.04</v>
      </c>
      <c r="Q468" s="12">
        <v>23.46</v>
      </c>
      <c r="R468" s="6">
        <v>45729</v>
      </c>
      <c r="S468" s="4">
        <v>272</v>
      </c>
      <c r="T468" s="4">
        <v>-248.54</v>
      </c>
    </row>
    <row r="469" spans="1:20" ht="29.4" thickBot="1" x14ac:dyDescent="0.35">
      <c r="A469" s="2" t="s">
        <v>49</v>
      </c>
      <c r="B469" s="2" t="s">
        <v>74</v>
      </c>
      <c r="C469" s="2" t="s">
        <v>120</v>
      </c>
      <c r="D469" s="2" t="s">
        <v>270</v>
      </c>
      <c r="E469" s="2" t="s">
        <v>122</v>
      </c>
      <c r="F469" s="2" t="s">
        <v>271</v>
      </c>
      <c r="G469" s="2" t="s">
        <v>217</v>
      </c>
      <c r="H469" s="3">
        <v>44311</v>
      </c>
      <c r="I469" s="2" t="s">
        <v>91</v>
      </c>
      <c r="J469" s="2" t="s">
        <v>92</v>
      </c>
      <c r="K469" s="4">
        <v>2021</v>
      </c>
      <c r="L469" s="4">
        <v>3.488</v>
      </c>
      <c r="M469" s="4" t="s">
        <v>124</v>
      </c>
      <c r="N469" s="4" t="s">
        <v>116</v>
      </c>
      <c r="O469" s="4">
        <v>38.368000000000002</v>
      </c>
      <c r="P469" s="4">
        <v>3.069</v>
      </c>
      <c r="Q469" s="12">
        <v>35.298999999999999</v>
      </c>
      <c r="R469" s="4" t="s">
        <v>714</v>
      </c>
      <c r="S469" s="4" t="s">
        <v>722</v>
      </c>
      <c r="T469" s="4" t="s">
        <v>723</v>
      </c>
    </row>
    <row r="470" spans="1:20" ht="15" thickBot="1" x14ac:dyDescent="0.35">
      <c r="A470" s="2" t="s">
        <v>49</v>
      </c>
      <c r="B470" s="2" t="s">
        <v>44</v>
      </c>
      <c r="C470" s="2" t="s">
        <v>120</v>
      </c>
      <c r="D470" s="2" t="s">
        <v>176</v>
      </c>
      <c r="E470" s="2" t="s">
        <v>122</v>
      </c>
      <c r="F470" s="2" t="s">
        <v>177</v>
      </c>
      <c r="G470" s="2" t="s">
        <v>217</v>
      </c>
      <c r="H470" s="3">
        <v>44477</v>
      </c>
      <c r="I470" s="2" t="s">
        <v>115</v>
      </c>
      <c r="J470" s="2" t="s">
        <v>96</v>
      </c>
      <c r="K470" s="4">
        <v>2021</v>
      </c>
      <c r="L470" s="4">
        <v>1.639</v>
      </c>
      <c r="M470" s="4" t="s">
        <v>124</v>
      </c>
      <c r="N470" s="4" t="s">
        <v>165</v>
      </c>
      <c r="O470" s="4">
        <v>49.17</v>
      </c>
      <c r="P470" s="4">
        <v>3.9340000000000002</v>
      </c>
      <c r="Q470" s="12">
        <v>45.235999999999997</v>
      </c>
      <c r="R470" s="4" t="s">
        <v>707</v>
      </c>
      <c r="S470" s="4">
        <v>524.48</v>
      </c>
      <c r="T470" s="4">
        <v>-479.24400000000003</v>
      </c>
    </row>
    <row r="471" spans="1:20" ht="29.4" thickBot="1" x14ac:dyDescent="0.35">
      <c r="A471" s="2" t="s">
        <v>43</v>
      </c>
      <c r="B471" s="2" t="s">
        <v>68</v>
      </c>
      <c r="C471" s="2" t="s">
        <v>120</v>
      </c>
      <c r="D471" s="2" t="s">
        <v>539</v>
      </c>
      <c r="E471" s="2" t="s">
        <v>122</v>
      </c>
      <c r="F471" s="2" t="s">
        <v>412</v>
      </c>
      <c r="G471" s="2" t="s">
        <v>217</v>
      </c>
      <c r="H471" s="3">
        <v>44362</v>
      </c>
      <c r="I471" s="2" t="s">
        <v>205</v>
      </c>
      <c r="J471" s="2" t="s">
        <v>92</v>
      </c>
      <c r="K471" s="4">
        <v>2021</v>
      </c>
      <c r="L471" s="4">
        <v>2.952</v>
      </c>
      <c r="M471" s="4" t="s">
        <v>124</v>
      </c>
      <c r="N471" s="4" t="s">
        <v>47</v>
      </c>
      <c r="O471" s="4" t="s">
        <v>708</v>
      </c>
      <c r="P471" s="4">
        <v>106.27200000000001</v>
      </c>
      <c r="Q471" s="12" t="s">
        <v>709</v>
      </c>
      <c r="R471" s="4" t="s">
        <v>710</v>
      </c>
      <c r="S471" s="4">
        <v>944.64</v>
      </c>
      <c r="T471" s="4">
        <v>277.488</v>
      </c>
    </row>
    <row r="472" spans="1:20" ht="15" thickBot="1" x14ac:dyDescent="0.35">
      <c r="A472" s="2" t="s">
        <v>49</v>
      </c>
      <c r="B472" s="2" t="s">
        <v>44</v>
      </c>
      <c r="C472" s="2" t="s">
        <v>120</v>
      </c>
      <c r="D472" s="2" t="s">
        <v>176</v>
      </c>
      <c r="E472" s="2" t="s">
        <v>122</v>
      </c>
      <c r="F472" s="2" t="s">
        <v>177</v>
      </c>
      <c r="G472" s="2" t="s">
        <v>217</v>
      </c>
      <c r="H472" s="3">
        <v>44479</v>
      </c>
      <c r="I472" s="2" t="s">
        <v>115</v>
      </c>
      <c r="J472" s="2" t="s">
        <v>96</v>
      </c>
      <c r="K472" s="4">
        <v>2021</v>
      </c>
      <c r="L472" s="4">
        <v>1.8240000000000001</v>
      </c>
      <c r="M472" s="4" t="s">
        <v>124</v>
      </c>
      <c r="N472" s="4" t="s">
        <v>165</v>
      </c>
      <c r="O472" s="4">
        <v>54.72</v>
      </c>
      <c r="P472" s="4">
        <v>4.3780000000000001</v>
      </c>
      <c r="Q472" s="12">
        <v>50.341999999999999</v>
      </c>
      <c r="R472" s="4" t="s">
        <v>724</v>
      </c>
      <c r="S472" s="4">
        <v>583.67999999999995</v>
      </c>
      <c r="T472" s="4">
        <v>-533.33799999999997</v>
      </c>
    </row>
    <row r="473" spans="1:20" ht="15" thickBot="1" x14ac:dyDescent="0.35">
      <c r="A473" s="2" t="s">
        <v>33</v>
      </c>
      <c r="B473" s="2" t="s">
        <v>34</v>
      </c>
      <c r="C473" s="2" t="s">
        <v>120</v>
      </c>
      <c r="D473" s="2" t="s">
        <v>328</v>
      </c>
      <c r="E473" s="2" t="s">
        <v>122</v>
      </c>
      <c r="F473" s="2" t="s">
        <v>329</v>
      </c>
      <c r="G473" s="2" t="s">
        <v>217</v>
      </c>
      <c r="H473" s="3">
        <v>44404</v>
      </c>
      <c r="I473" s="2" t="s">
        <v>62</v>
      </c>
      <c r="J473" s="2" t="s">
        <v>28</v>
      </c>
      <c r="K473" s="4">
        <v>2021</v>
      </c>
      <c r="L473" s="4">
        <v>853</v>
      </c>
      <c r="M473" s="4" t="s">
        <v>124</v>
      </c>
      <c r="N473" s="4" t="s">
        <v>42</v>
      </c>
      <c r="O473" s="4">
        <v>19.619</v>
      </c>
      <c r="P473" s="4">
        <v>1.57</v>
      </c>
      <c r="Q473" s="12">
        <v>18.048999999999999</v>
      </c>
      <c r="R473" s="5">
        <v>29830</v>
      </c>
      <c r="S473" s="4">
        <v>272.95999999999998</v>
      </c>
      <c r="T473" s="4">
        <v>-254.911</v>
      </c>
    </row>
    <row r="474" spans="1:20" ht="29.4" thickBot="1" x14ac:dyDescent="0.35">
      <c r="A474" s="2" t="s">
        <v>43</v>
      </c>
      <c r="B474" s="2" t="s">
        <v>68</v>
      </c>
      <c r="C474" s="2" t="s">
        <v>120</v>
      </c>
      <c r="D474" s="2" t="s">
        <v>539</v>
      </c>
      <c r="E474" s="2" t="s">
        <v>122</v>
      </c>
      <c r="F474" s="2" t="s">
        <v>412</v>
      </c>
      <c r="G474" s="2" t="s">
        <v>217</v>
      </c>
      <c r="H474" s="3">
        <v>44374</v>
      </c>
      <c r="I474" s="2" t="s">
        <v>205</v>
      </c>
      <c r="J474" s="2" t="s">
        <v>92</v>
      </c>
      <c r="K474" s="4">
        <v>2021</v>
      </c>
      <c r="L474" s="4">
        <v>762</v>
      </c>
      <c r="M474" s="4" t="s">
        <v>124</v>
      </c>
      <c r="N474" s="4" t="s">
        <v>47</v>
      </c>
      <c r="O474" s="4">
        <v>342.9</v>
      </c>
      <c r="P474" s="4">
        <v>27.431999999999999</v>
      </c>
      <c r="Q474" s="12">
        <v>315.46800000000002</v>
      </c>
      <c r="R474" s="4" t="s">
        <v>715</v>
      </c>
      <c r="S474" s="4">
        <v>243.84</v>
      </c>
      <c r="T474" s="4">
        <v>71.628</v>
      </c>
    </row>
    <row r="475" spans="1:20" ht="15" thickBot="1" x14ac:dyDescent="0.35">
      <c r="A475" s="2" t="s">
        <v>49</v>
      </c>
      <c r="B475" s="2" t="s">
        <v>21</v>
      </c>
      <c r="C475" s="2" t="s">
        <v>75</v>
      </c>
      <c r="D475" s="2" t="s">
        <v>168</v>
      </c>
      <c r="E475" s="2" t="s">
        <v>77</v>
      </c>
      <c r="F475" s="2" t="s">
        <v>169</v>
      </c>
      <c r="G475" s="2" t="s">
        <v>217</v>
      </c>
      <c r="H475" s="3">
        <v>44328</v>
      </c>
      <c r="I475" s="2" t="s">
        <v>142</v>
      </c>
      <c r="J475" s="2" t="s">
        <v>92</v>
      </c>
      <c r="K475" s="4">
        <v>2021</v>
      </c>
      <c r="L475" s="4">
        <v>524</v>
      </c>
      <c r="M475" s="4" t="s">
        <v>80</v>
      </c>
      <c r="N475" s="4" t="s">
        <v>165</v>
      </c>
      <c r="O475" s="4">
        <v>15.72</v>
      </c>
      <c r="P475" s="4">
        <v>1.258</v>
      </c>
      <c r="Q475" s="12">
        <v>14.462</v>
      </c>
      <c r="R475" s="6">
        <v>45724</v>
      </c>
      <c r="S475" s="4">
        <v>161.392</v>
      </c>
      <c r="T475" s="4">
        <v>-146.93</v>
      </c>
    </row>
    <row r="476" spans="1:20" ht="29.4" thickBot="1" x14ac:dyDescent="0.35">
      <c r="A476" s="2" t="s">
        <v>43</v>
      </c>
      <c r="B476" s="2" t="s">
        <v>34</v>
      </c>
      <c r="C476" s="2" t="s">
        <v>82</v>
      </c>
      <c r="D476" s="2" t="s">
        <v>725</v>
      </c>
      <c r="E476" s="2" t="s">
        <v>84</v>
      </c>
      <c r="F476" s="2" t="s">
        <v>301</v>
      </c>
      <c r="G476" s="2" t="s">
        <v>217</v>
      </c>
      <c r="H476" s="3">
        <v>44550</v>
      </c>
      <c r="I476" s="2" t="s">
        <v>100</v>
      </c>
      <c r="J476" s="2" t="s">
        <v>96</v>
      </c>
      <c r="K476" s="4">
        <v>2021</v>
      </c>
      <c r="L476" s="4">
        <v>1.3129999999999999</v>
      </c>
      <c r="M476" s="4" t="s">
        <v>87</v>
      </c>
      <c r="N476" s="4" t="s">
        <v>47</v>
      </c>
      <c r="O476" s="4">
        <v>590.85</v>
      </c>
      <c r="P476" s="4">
        <v>53.177</v>
      </c>
      <c r="Q476" s="12">
        <v>537.67399999999998</v>
      </c>
      <c r="R476" s="4" t="s">
        <v>726</v>
      </c>
      <c r="S476" s="4">
        <v>5.2519999999999998</v>
      </c>
      <c r="T476" s="4">
        <v>532.42200000000003</v>
      </c>
    </row>
    <row r="477" spans="1:20" ht="29.4" thickBot="1" x14ac:dyDescent="0.35">
      <c r="A477" s="2" t="s">
        <v>43</v>
      </c>
      <c r="B477" s="2" t="s">
        <v>34</v>
      </c>
      <c r="C477" s="2" t="s">
        <v>22</v>
      </c>
      <c r="D477" s="2" t="s">
        <v>300</v>
      </c>
      <c r="E477" s="2" t="s">
        <v>24</v>
      </c>
      <c r="F477" s="2" t="s">
        <v>301</v>
      </c>
      <c r="G477" s="2" t="s">
        <v>217</v>
      </c>
      <c r="H477" s="3">
        <v>44536</v>
      </c>
      <c r="I477" s="2" t="s">
        <v>100</v>
      </c>
      <c r="J477" s="2" t="s">
        <v>96</v>
      </c>
      <c r="K477" s="4">
        <v>2021</v>
      </c>
      <c r="L477" s="4">
        <v>4.5629999999999997</v>
      </c>
      <c r="M477" s="4" t="s">
        <v>29</v>
      </c>
      <c r="N477" s="4" t="s">
        <v>47</v>
      </c>
      <c r="O477" s="4" t="s">
        <v>727</v>
      </c>
      <c r="P477" s="4">
        <v>184.80199999999999</v>
      </c>
      <c r="Q477" s="12" t="s">
        <v>728</v>
      </c>
      <c r="R477" s="4" t="s">
        <v>729</v>
      </c>
      <c r="S477" s="4">
        <v>27.378</v>
      </c>
      <c r="T477" s="4" t="s">
        <v>730</v>
      </c>
    </row>
    <row r="478" spans="1:20" ht="15" thickBot="1" x14ac:dyDescent="0.35">
      <c r="A478" s="2" t="s">
        <v>49</v>
      </c>
      <c r="B478" s="2" t="s">
        <v>44</v>
      </c>
      <c r="C478" s="2" t="s">
        <v>22</v>
      </c>
      <c r="D478" s="2" t="s">
        <v>253</v>
      </c>
      <c r="E478" s="2" t="s">
        <v>24</v>
      </c>
      <c r="F478" s="2" t="s">
        <v>254</v>
      </c>
      <c r="G478" s="2" t="s">
        <v>217</v>
      </c>
      <c r="H478" s="3">
        <v>44075</v>
      </c>
      <c r="I478" s="2" t="s">
        <v>27</v>
      </c>
      <c r="J478" s="2" t="s">
        <v>28</v>
      </c>
      <c r="K478" s="4">
        <v>2020</v>
      </c>
      <c r="L478" s="4">
        <v>1.9990000000000001</v>
      </c>
      <c r="M478" s="4" t="s">
        <v>29</v>
      </c>
      <c r="N478" s="4" t="s">
        <v>54</v>
      </c>
      <c r="O478" s="4" t="s">
        <v>731</v>
      </c>
      <c r="P478" s="4">
        <v>94.453000000000003</v>
      </c>
      <c r="Q478" s="12">
        <v>955.02200000000005</v>
      </c>
      <c r="R478" s="4" t="s">
        <v>732</v>
      </c>
      <c r="S478" s="4">
        <v>11.994</v>
      </c>
      <c r="T478" s="4">
        <v>943.02800000000002</v>
      </c>
    </row>
    <row r="479" spans="1:20" ht="29.4" thickBot="1" x14ac:dyDescent="0.35">
      <c r="A479" s="2" t="s">
        <v>58</v>
      </c>
      <c r="B479" s="2" t="s">
        <v>64</v>
      </c>
      <c r="C479" s="2" t="s">
        <v>22</v>
      </c>
      <c r="D479" s="2" t="s">
        <v>442</v>
      </c>
      <c r="E479" s="2" t="s">
        <v>24</v>
      </c>
      <c r="F479" s="2" t="s">
        <v>225</v>
      </c>
      <c r="G479" s="2" t="s">
        <v>217</v>
      </c>
      <c r="H479" s="3">
        <v>44003</v>
      </c>
      <c r="I479" s="2" t="s">
        <v>205</v>
      </c>
      <c r="J479" s="2" t="s">
        <v>92</v>
      </c>
      <c r="K479" s="4">
        <v>2020</v>
      </c>
      <c r="L479" s="4">
        <v>2.7850000000000001</v>
      </c>
      <c r="M479" s="4" t="s">
        <v>29</v>
      </c>
      <c r="N479" s="4" t="s">
        <v>63</v>
      </c>
      <c r="O479" s="4">
        <v>50.13</v>
      </c>
      <c r="P479" s="4">
        <v>4.5119999999999996</v>
      </c>
      <c r="Q479" s="12">
        <v>45.618000000000002</v>
      </c>
      <c r="R479" s="4" t="s">
        <v>733</v>
      </c>
      <c r="S479" s="4">
        <v>16.71</v>
      </c>
      <c r="T479" s="4">
        <v>28.908000000000001</v>
      </c>
    </row>
    <row r="480" spans="1:20" ht="15" thickBot="1" x14ac:dyDescent="0.35">
      <c r="A480" s="2" t="s">
        <v>20</v>
      </c>
      <c r="B480" s="2" t="s">
        <v>59</v>
      </c>
      <c r="C480" s="2" t="s">
        <v>22</v>
      </c>
      <c r="D480" s="2" t="s">
        <v>105</v>
      </c>
      <c r="E480" s="2" t="s">
        <v>24</v>
      </c>
      <c r="F480" s="2" t="s">
        <v>106</v>
      </c>
      <c r="G480" s="2" t="s">
        <v>217</v>
      </c>
      <c r="H480" s="3">
        <v>44128</v>
      </c>
      <c r="I480" s="2" t="s">
        <v>115</v>
      </c>
      <c r="J480" s="2" t="s">
        <v>96</v>
      </c>
      <c r="K480" s="4">
        <v>2020</v>
      </c>
      <c r="L480" s="4">
        <v>3.3559999999999999</v>
      </c>
      <c r="M480" s="4" t="s">
        <v>29</v>
      </c>
      <c r="N480" s="4" t="s">
        <v>30</v>
      </c>
      <c r="O480" s="4">
        <v>630.928</v>
      </c>
      <c r="P480" s="4">
        <v>56.783999999999999</v>
      </c>
      <c r="Q480" s="12">
        <v>574.14400000000001</v>
      </c>
      <c r="R480" s="4" t="s">
        <v>734</v>
      </c>
      <c r="S480" s="4">
        <v>20.135999999999999</v>
      </c>
      <c r="T480" s="4">
        <v>554.00800000000004</v>
      </c>
    </row>
    <row r="481" spans="1:20" ht="29.4" thickBot="1" x14ac:dyDescent="0.35">
      <c r="A481" s="2" t="s">
        <v>43</v>
      </c>
      <c r="B481" s="2" t="s">
        <v>44</v>
      </c>
      <c r="C481" s="2" t="s">
        <v>35</v>
      </c>
      <c r="D481" s="2" t="s">
        <v>45</v>
      </c>
      <c r="E481" s="2" t="s">
        <v>37</v>
      </c>
      <c r="F481" s="2" t="s">
        <v>46</v>
      </c>
      <c r="G481" s="2" t="s">
        <v>217</v>
      </c>
      <c r="H481" s="3">
        <v>44041</v>
      </c>
      <c r="I481" s="2" t="s">
        <v>62</v>
      </c>
      <c r="J481" s="2" t="s">
        <v>28</v>
      </c>
      <c r="K481" s="4">
        <v>2020</v>
      </c>
      <c r="L481" s="4">
        <v>3.0779999999999998</v>
      </c>
      <c r="M481" s="4" t="s">
        <v>41</v>
      </c>
      <c r="N481" s="4" t="s">
        <v>47</v>
      </c>
      <c r="O481" s="4" t="s">
        <v>735</v>
      </c>
      <c r="P481" s="4">
        <v>124.65900000000001</v>
      </c>
      <c r="Q481" s="12" t="s">
        <v>736</v>
      </c>
      <c r="R481" s="4" t="s">
        <v>737</v>
      </c>
      <c r="S481" s="4">
        <v>36.936</v>
      </c>
      <c r="T481" s="4" t="s">
        <v>738</v>
      </c>
    </row>
    <row r="482" spans="1:20" ht="15" thickBot="1" x14ac:dyDescent="0.35">
      <c r="A482" s="2" t="s">
        <v>49</v>
      </c>
      <c r="B482" s="2" t="s">
        <v>74</v>
      </c>
      <c r="C482" s="2" t="s">
        <v>35</v>
      </c>
      <c r="D482" s="2" t="s">
        <v>191</v>
      </c>
      <c r="E482" s="2" t="s">
        <v>37</v>
      </c>
      <c r="F482" s="2" t="s">
        <v>192</v>
      </c>
      <c r="G482" s="2" t="s">
        <v>217</v>
      </c>
      <c r="H482" s="3">
        <v>44310</v>
      </c>
      <c r="I482" s="2" t="s">
        <v>91</v>
      </c>
      <c r="J482" s="2" t="s">
        <v>92</v>
      </c>
      <c r="K482" s="4">
        <v>2021</v>
      </c>
      <c r="L482" s="4">
        <v>2.9</v>
      </c>
      <c r="M482" s="4" t="s">
        <v>41</v>
      </c>
      <c r="N482" s="4" t="s">
        <v>54</v>
      </c>
      <c r="O482" s="4" t="s">
        <v>739</v>
      </c>
      <c r="P482" s="4">
        <v>137.02500000000001</v>
      </c>
      <c r="Q482" s="12" t="s">
        <v>740</v>
      </c>
      <c r="R482" s="4" t="s">
        <v>741</v>
      </c>
      <c r="S482" s="4">
        <v>34.799999999999997</v>
      </c>
      <c r="T482" s="4" t="s">
        <v>742</v>
      </c>
    </row>
    <row r="483" spans="1:20" ht="15" thickBot="1" x14ac:dyDescent="0.35">
      <c r="A483" s="2" t="s">
        <v>33</v>
      </c>
      <c r="B483" s="2" t="s">
        <v>34</v>
      </c>
      <c r="C483" s="2" t="s">
        <v>35</v>
      </c>
      <c r="D483" s="2" t="s">
        <v>147</v>
      </c>
      <c r="E483" s="2" t="s">
        <v>37</v>
      </c>
      <c r="F483" s="2" t="s">
        <v>148</v>
      </c>
      <c r="G483" s="2" t="s">
        <v>217</v>
      </c>
      <c r="H483" s="3">
        <v>44132</v>
      </c>
      <c r="I483" s="2" t="s">
        <v>115</v>
      </c>
      <c r="J483" s="2" t="s">
        <v>96</v>
      </c>
      <c r="K483" s="4">
        <v>2020</v>
      </c>
      <c r="L483" s="4">
        <v>4.41</v>
      </c>
      <c r="M483" s="4" t="s">
        <v>41</v>
      </c>
      <c r="N483" s="4" t="s">
        <v>42</v>
      </c>
      <c r="O483" s="4">
        <v>101.43</v>
      </c>
      <c r="P483" s="4">
        <v>9.1289999999999996</v>
      </c>
      <c r="Q483" s="12">
        <v>92.301000000000002</v>
      </c>
      <c r="R483" s="4" t="s">
        <v>743</v>
      </c>
      <c r="S483" s="4">
        <v>52.92</v>
      </c>
      <c r="T483" s="4">
        <v>39.381</v>
      </c>
    </row>
    <row r="484" spans="1:20" ht="29.4" thickBot="1" x14ac:dyDescent="0.35">
      <c r="A484" s="2" t="s">
        <v>43</v>
      </c>
      <c r="B484" s="2" t="s">
        <v>64</v>
      </c>
      <c r="C484" s="2" t="s">
        <v>35</v>
      </c>
      <c r="D484" s="2" t="s">
        <v>287</v>
      </c>
      <c r="E484" s="2" t="s">
        <v>37</v>
      </c>
      <c r="F484" s="2" t="s">
        <v>288</v>
      </c>
      <c r="G484" s="2" t="s">
        <v>217</v>
      </c>
      <c r="H484" s="3">
        <v>44013</v>
      </c>
      <c r="I484" s="2" t="s">
        <v>62</v>
      </c>
      <c r="J484" s="2" t="s">
        <v>28</v>
      </c>
      <c r="K484" s="4">
        <v>2020</v>
      </c>
      <c r="L484" s="4">
        <v>1.3129999999999999</v>
      </c>
      <c r="M484" s="4" t="s">
        <v>41</v>
      </c>
      <c r="N484" s="4" t="s">
        <v>47</v>
      </c>
      <c r="O484" s="4">
        <v>590.85</v>
      </c>
      <c r="P484" s="4">
        <v>53.177</v>
      </c>
      <c r="Q484" s="12">
        <v>537.67399999999998</v>
      </c>
      <c r="R484" s="4" t="s">
        <v>726</v>
      </c>
      <c r="S484" s="4">
        <v>15.756</v>
      </c>
      <c r="T484" s="4">
        <v>521.91800000000001</v>
      </c>
    </row>
    <row r="485" spans="1:20" ht="15" thickBot="1" x14ac:dyDescent="0.35">
      <c r="A485" s="2" t="s">
        <v>33</v>
      </c>
      <c r="B485" s="2" t="s">
        <v>34</v>
      </c>
      <c r="C485" s="2" t="s">
        <v>35</v>
      </c>
      <c r="D485" s="2" t="s">
        <v>36</v>
      </c>
      <c r="E485" s="2" t="s">
        <v>37</v>
      </c>
      <c r="F485" s="2" t="s">
        <v>38</v>
      </c>
      <c r="G485" s="2" t="s">
        <v>217</v>
      </c>
      <c r="H485" s="3">
        <v>44125</v>
      </c>
      <c r="I485" s="2" t="s">
        <v>115</v>
      </c>
      <c r="J485" s="2" t="s">
        <v>96</v>
      </c>
      <c r="K485" s="4">
        <v>2020</v>
      </c>
      <c r="L485" s="4">
        <v>1.472</v>
      </c>
      <c r="M485" s="4" t="s">
        <v>41</v>
      </c>
      <c r="N485" s="4" t="s">
        <v>42</v>
      </c>
      <c r="O485" s="4">
        <v>33.856000000000002</v>
      </c>
      <c r="P485" s="4">
        <v>3.0470000000000002</v>
      </c>
      <c r="Q485" s="12">
        <v>30.809000000000001</v>
      </c>
      <c r="R485" s="4" t="s">
        <v>744</v>
      </c>
      <c r="S485" s="4">
        <v>17.664000000000001</v>
      </c>
      <c r="T485" s="4">
        <v>13.145</v>
      </c>
    </row>
    <row r="486" spans="1:20" ht="29.4" thickBot="1" x14ac:dyDescent="0.35">
      <c r="A486" s="2" t="s">
        <v>43</v>
      </c>
      <c r="B486" s="2" t="s">
        <v>21</v>
      </c>
      <c r="C486" s="2" t="s">
        <v>35</v>
      </c>
      <c r="D486" s="2" t="s">
        <v>518</v>
      </c>
      <c r="E486" s="2" t="s">
        <v>37</v>
      </c>
      <c r="F486" s="2" t="s">
        <v>298</v>
      </c>
      <c r="G486" s="2" t="s">
        <v>217</v>
      </c>
      <c r="H486" s="3">
        <v>43986</v>
      </c>
      <c r="I486" s="2" t="s">
        <v>205</v>
      </c>
      <c r="J486" s="2" t="s">
        <v>92</v>
      </c>
      <c r="K486" s="4">
        <v>2020</v>
      </c>
      <c r="L486" s="4">
        <v>1.589</v>
      </c>
      <c r="M486" s="4" t="s">
        <v>41</v>
      </c>
      <c r="N486" s="4" t="s">
        <v>47</v>
      </c>
      <c r="O486" s="4">
        <v>715.05</v>
      </c>
      <c r="P486" s="4">
        <v>64.355000000000004</v>
      </c>
      <c r="Q486" s="12">
        <v>650.69600000000003</v>
      </c>
      <c r="R486" s="4" t="s">
        <v>745</v>
      </c>
      <c r="S486" s="4">
        <v>19.068000000000001</v>
      </c>
      <c r="T486" s="4">
        <v>631.62800000000004</v>
      </c>
    </row>
    <row r="487" spans="1:20" ht="15" thickBot="1" x14ac:dyDescent="0.35">
      <c r="A487" s="2" t="s">
        <v>20</v>
      </c>
      <c r="B487" s="2" t="s">
        <v>44</v>
      </c>
      <c r="C487" s="2" t="s">
        <v>35</v>
      </c>
      <c r="D487" s="2" t="s">
        <v>490</v>
      </c>
      <c r="E487" s="2" t="s">
        <v>37</v>
      </c>
      <c r="F487" s="2" t="s">
        <v>362</v>
      </c>
      <c r="G487" s="2" t="s">
        <v>217</v>
      </c>
      <c r="H487" s="3">
        <v>44038</v>
      </c>
      <c r="I487" s="2" t="s">
        <v>62</v>
      </c>
      <c r="J487" s="2" t="s">
        <v>28</v>
      </c>
      <c r="K487" s="4">
        <v>2020</v>
      </c>
      <c r="L487" s="4">
        <v>3.3559999999999999</v>
      </c>
      <c r="M487" s="4" t="s">
        <v>41</v>
      </c>
      <c r="N487" s="4" t="s">
        <v>30</v>
      </c>
      <c r="O487" s="4">
        <v>630.928</v>
      </c>
      <c r="P487" s="4">
        <v>56.783999999999999</v>
      </c>
      <c r="Q487" s="12">
        <v>574.14400000000001</v>
      </c>
      <c r="R487" s="4" t="s">
        <v>734</v>
      </c>
      <c r="S487" s="4">
        <v>40.271999999999998</v>
      </c>
      <c r="T487" s="4">
        <v>533.87199999999996</v>
      </c>
    </row>
    <row r="488" spans="1:20" ht="15" thickBot="1" x14ac:dyDescent="0.35">
      <c r="A488" s="2" t="s">
        <v>33</v>
      </c>
      <c r="B488" s="2" t="s">
        <v>44</v>
      </c>
      <c r="C488" s="2" t="s">
        <v>69</v>
      </c>
      <c r="D488" s="2" t="s">
        <v>361</v>
      </c>
      <c r="E488" s="2" t="s">
        <v>71</v>
      </c>
      <c r="F488" s="2" t="s">
        <v>362</v>
      </c>
      <c r="G488" s="2" t="s">
        <v>217</v>
      </c>
      <c r="H488" s="3">
        <v>44559</v>
      </c>
      <c r="I488" s="2" t="s">
        <v>100</v>
      </c>
      <c r="J488" s="2" t="s">
        <v>96</v>
      </c>
      <c r="K488" s="4">
        <v>2021</v>
      </c>
      <c r="L488" s="4">
        <v>294</v>
      </c>
      <c r="M488" s="4" t="s">
        <v>73</v>
      </c>
      <c r="N488" s="4" t="s">
        <v>42</v>
      </c>
      <c r="O488" s="4">
        <v>6.7619999999999996</v>
      </c>
      <c r="P488" s="4">
        <v>609</v>
      </c>
      <c r="Q488" s="12">
        <v>6.1529999999999996</v>
      </c>
      <c r="R488" s="5">
        <v>12479</v>
      </c>
      <c r="S488" s="4">
        <v>43.512</v>
      </c>
      <c r="T488" s="4">
        <v>-37.359000000000002</v>
      </c>
    </row>
    <row r="489" spans="1:20" ht="29.4" thickBot="1" x14ac:dyDescent="0.35">
      <c r="A489" s="2" t="s">
        <v>43</v>
      </c>
      <c r="B489" s="2" t="s">
        <v>59</v>
      </c>
      <c r="C489" s="2" t="s">
        <v>69</v>
      </c>
      <c r="D489" s="2" t="s">
        <v>403</v>
      </c>
      <c r="E489" s="2" t="s">
        <v>71</v>
      </c>
      <c r="F489" s="2" t="s">
        <v>238</v>
      </c>
      <c r="G489" s="2" t="s">
        <v>217</v>
      </c>
      <c r="H489" s="3">
        <v>44323</v>
      </c>
      <c r="I489" s="2" t="s">
        <v>142</v>
      </c>
      <c r="J489" s="2" t="s">
        <v>92</v>
      </c>
      <c r="K489" s="4">
        <v>2021</v>
      </c>
      <c r="L489" s="4">
        <v>4.5519999999999996</v>
      </c>
      <c r="M489" s="4" t="s">
        <v>73</v>
      </c>
      <c r="N489" s="4" t="s">
        <v>47</v>
      </c>
      <c r="O489" s="4" t="s">
        <v>746</v>
      </c>
      <c r="P489" s="4">
        <v>184.35599999999999</v>
      </c>
      <c r="Q489" s="12" t="s">
        <v>747</v>
      </c>
      <c r="R489" s="4" t="s">
        <v>748</v>
      </c>
      <c r="S489" s="4">
        <v>673.69600000000003</v>
      </c>
      <c r="T489" s="4" t="s">
        <v>749</v>
      </c>
    </row>
    <row r="490" spans="1:20" ht="15" thickBot="1" x14ac:dyDescent="0.35">
      <c r="A490" s="2" t="s">
        <v>49</v>
      </c>
      <c r="B490" s="2" t="s">
        <v>50</v>
      </c>
      <c r="C490" s="2" t="s">
        <v>69</v>
      </c>
      <c r="D490" s="2" t="s">
        <v>153</v>
      </c>
      <c r="E490" s="2" t="s">
        <v>71</v>
      </c>
      <c r="F490" s="2" t="s">
        <v>154</v>
      </c>
      <c r="G490" s="2" t="s">
        <v>217</v>
      </c>
      <c r="H490" s="3">
        <v>43882</v>
      </c>
      <c r="I490" s="2" t="s">
        <v>79</v>
      </c>
      <c r="J490" s="2" t="s">
        <v>40</v>
      </c>
      <c r="K490" s="4">
        <v>2020</v>
      </c>
      <c r="L490" s="4">
        <v>1.5680000000000001</v>
      </c>
      <c r="M490" s="4" t="s">
        <v>73</v>
      </c>
      <c r="N490" s="4" t="s">
        <v>54</v>
      </c>
      <c r="O490" s="4">
        <v>823.2</v>
      </c>
      <c r="P490" s="4">
        <v>74.087999999999994</v>
      </c>
      <c r="Q490" s="12">
        <v>749.11199999999997</v>
      </c>
      <c r="R490" s="4" t="s">
        <v>750</v>
      </c>
      <c r="S490" s="4">
        <v>232.06399999999999</v>
      </c>
      <c r="T490" s="4">
        <v>517.048</v>
      </c>
    </row>
    <row r="491" spans="1:20" ht="15" thickBot="1" x14ac:dyDescent="0.35">
      <c r="A491" s="2" t="s">
        <v>20</v>
      </c>
      <c r="B491" s="2" t="s">
        <v>68</v>
      </c>
      <c r="C491" s="2" t="s">
        <v>69</v>
      </c>
      <c r="D491" s="2" t="s">
        <v>70</v>
      </c>
      <c r="E491" s="2" t="s">
        <v>71</v>
      </c>
      <c r="F491" s="2" t="s">
        <v>72</v>
      </c>
      <c r="G491" s="2" t="s">
        <v>217</v>
      </c>
      <c r="H491" s="3">
        <v>44159</v>
      </c>
      <c r="I491" s="2" t="s">
        <v>95</v>
      </c>
      <c r="J491" s="2" t="s">
        <v>96</v>
      </c>
      <c r="K491" s="4">
        <v>2020</v>
      </c>
      <c r="L491" s="4">
        <v>680</v>
      </c>
      <c r="M491" s="4" t="s">
        <v>73</v>
      </c>
      <c r="N491" s="4" t="s">
        <v>30</v>
      </c>
      <c r="O491" s="4">
        <v>127.84</v>
      </c>
      <c r="P491" s="4">
        <v>11.506</v>
      </c>
      <c r="Q491" s="12">
        <v>116.334</v>
      </c>
      <c r="R491" s="4" t="s">
        <v>751</v>
      </c>
      <c r="S491" s="4">
        <v>100.64</v>
      </c>
      <c r="T491" s="4">
        <v>15.694000000000001</v>
      </c>
    </row>
    <row r="492" spans="1:20" ht="15" thickBot="1" x14ac:dyDescent="0.35">
      <c r="A492" s="2" t="s">
        <v>20</v>
      </c>
      <c r="B492" s="2" t="s">
        <v>64</v>
      </c>
      <c r="C492" s="2" t="s">
        <v>69</v>
      </c>
      <c r="D492" s="2" t="s">
        <v>161</v>
      </c>
      <c r="E492" s="2" t="s">
        <v>71</v>
      </c>
      <c r="F492" s="2" t="s">
        <v>162</v>
      </c>
      <c r="G492" s="2" t="s">
        <v>217</v>
      </c>
      <c r="H492" s="3">
        <v>43852</v>
      </c>
      <c r="I492" s="2" t="s">
        <v>39</v>
      </c>
      <c r="J492" s="2" t="s">
        <v>40</v>
      </c>
      <c r="K492" s="4">
        <v>2020</v>
      </c>
      <c r="L492" s="4">
        <v>2.532</v>
      </c>
      <c r="M492" s="4" t="s">
        <v>73</v>
      </c>
      <c r="N492" s="4" t="s">
        <v>30</v>
      </c>
      <c r="O492" s="4">
        <v>476.01600000000002</v>
      </c>
      <c r="P492" s="4">
        <v>42.841000000000001</v>
      </c>
      <c r="Q492" s="12">
        <v>433.17500000000001</v>
      </c>
      <c r="R492" s="4" t="s">
        <v>752</v>
      </c>
      <c r="S492" s="4">
        <v>374.73599999999999</v>
      </c>
      <c r="T492" s="4">
        <v>58.439</v>
      </c>
    </row>
    <row r="493" spans="1:20" ht="15" thickBot="1" x14ac:dyDescent="0.35">
      <c r="A493" s="2" t="s">
        <v>49</v>
      </c>
      <c r="B493" s="2" t="s">
        <v>74</v>
      </c>
      <c r="C493" s="2" t="s">
        <v>69</v>
      </c>
      <c r="D493" s="2" t="s">
        <v>113</v>
      </c>
      <c r="E493" s="2" t="s">
        <v>71</v>
      </c>
      <c r="F493" s="2" t="s">
        <v>114</v>
      </c>
      <c r="G493" s="2" t="s">
        <v>217</v>
      </c>
      <c r="H493" s="3">
        <v>44348</v>
      </c>
      <c r="I493" s="2" t="s">
        <v>205</v>
      </c>
      <c r="J493" s="2" t="s">
        <v>92</v>
      </c>
      <c r="K493" s="4">
        <v>2021</v>
      </c>
      <c r="L493" s="4">
        <v>1.5229999999999999</v>
      </c>
      <c r="M493" s="4" t="s">
        <v>73</v>
      </c>
      <c r="N493" s="4" t="s">
        <v>54</v>
      </c>
      <c r="O493" s="4">
        <v>799.57500000000005</v>
      </c>
      <c r="P493" s="4">
        <v>71.962000000000003</v>
      </c>
      <c r="Q493" s="12">
        <v>727.61300000000006</v>
      </c>
      <c r="R493" s="4" t="s">
        <v>753</v>
      </c>
      <c r="S493" s="4">
        <v>225.404</v>
      </c>
      <c r="T493" s="4">
        <v>502.209</v>
      </c>
    </row>
    <row r="494" spans="1:20" ht="29.4" thickBot="1" x14ac:dyDescent="0.35">
      <c r="A494" s="2" t="s">
        <v>58</v>
      </c>
      <c r="B494" s="2" t="s">
        <v>44</v>
      </c>
      <c r="C494" s="2" t="s">
        <v>75</v>
      </c>
      <c r="D494" s="2" t="s">
        <v>754</v>
      </c>
      <c r="E494" s="2" t="s">
        <v>77</v>
      </c>
      <c r="F494" s="2" t="s">
        <v>310</v>
      </c>
      <c r="G494" s="2" t="s">
        <v>217</v>
      </c>
      <c r="H494" s="3">
        <v>44157</v>
      </c>
      <c r="I494" s="2" t="s">
        <v>95</v>
      </c>
      <c r="J494" s="2" t="s">
        <v>96</v>
      </c>
      <c r="K494" s="4">
        <v>2020</v>
      </c>
      <c r="L494" s="4">
        <v>2.347</v>
      </c>
      <c r="M494" s="4" t="s">
        <v>80</v>
      </c>
      <c r="N494" s="4" t="s">
        <v>63</v>
      </c>
      <c r="O494" s="4">
        <v>42.246000000000002</v>
      </c>
      <c r="P494" s="4">
        <v>3.802</v>
      </c>
      <c r="Q494" s="12">
        <v>38.444000000000003</v>
      </c>
      <c r="R494" s="4" t="s">
        <v>755</v>
      </c>
      <c r="S494" s="4">
        <v>722.87599999999998</v>
      </c>
      <c r="T494" s="4">
        <v>-684.43200000000002</v>
      </c>
    </row>
    <row r="495" spans="1:20" ht="29.4" thickBot="1" x14ac:dyDescent="0.35">
      <c r="A495" s="2" t="s">
        <v>43</v>
      </c>
      <c r="B495" s="2" t="s">
        <v>74</v>
      </c>
      <c r="C495" s="2" t="s">
        <v>75</v>
      </c>
      <c r="D495" s="2" t="s">
        <v>166</v>
      </c>
      <c r="E495" s="2" t="s">
        <v>77</v>
      </c>
      <c r="F495" s="2" t="s">
        <v>167</v>
      </c>
      <c r="G495" s="2" t="s">
        <v>217</v>
      </c>
      <c r="H495" s="3">
        <v>44556</v>
      </c>
      <c r="I495" s="2" t="s">
        <v>100</v>
      </c>
      <c r="J495" s="2" t="s">
        <v>96</v>
      </c>
      <c r="K495" s="4">
        <v>2021</v>
      </c>
      <c r="L495" s="4">
        <v>3.1909999999999998</v>
      </c>
      <c r="M495" s="4" t="s">
        <v>80</v>
      </c>
      <c r="N495" s="4" t="s">
        <v>47</v>
      </c>
      <c r="O495" s="4" t="s">
        <v>756</v>
      </c>
      <c r="P495" s="4">
        <v>129.23599999999999</v>
      </c>
      <c r="Q495" s="12" t="s">
        <v>757</v>
      </c>
      <c r="R495" s="4" t="s">
        <v>758</v>
      </c>
      <c r="S495" s="4">
        <v>982.82799999999997</v>
      </c>
      <c r="T495" s="4">
        <v>323.887</v>
      </c>
    </row>
    <row r="496" spans="1:20" ht="15" thickBot="1" x14ac:dyDescent="0.35">
      <c r="A496" s="2" t="s">
        <v>49</v>
      </c>
      <c r="B496" s="2" t="s">
        <v>21</v>
      </c>
      <c r="C496" s="2" t="s">
        <v>75</v>
      </c>
      <c r="D496" s="2" t="s">
        <v>168</v>
      </c>
      <c r="E496" s="2" t="s">
        <v>77</v>
      </c>
      <c r="F496" s="2" t="s">
        <v>169</v>
      </c>
      <c r="G496" s="2" t="s">
        <v>217</v>
      </c>
      <c r="H496" s="3">
        <v>44521</v>
      </c>
      <c r="I496" s="2" t="s">
        <v>95</v>
      </c>
      <c r="J496" s="2" t="s">
        <v>96</v>
      </c>
      <c r="K496" s="4">
        <v>2021</v>
      </c>
      <c r="L496" s="4">
        <v>1.6220000000000001</v>
      </c>
      <c r="M496" s="4" t="s">
        <v>80</v>
      </c>
      <c r="N496" s="4" t="s">
        <v>54</v>
      </c>
      <c r="O496" s="4">
        <v>851.55</v>
      </c>
      <c r="P496" s="4">
        <v>76.64</v>
      </c>
      <c r="Q496" s="12">
        <v>774.91099999999994</v>
      </c>
      <c r="R496" s="4" t="s">
        <v>759</v>
      </c>
      <c r="S496" s="4">
        <v>499.57600000000002</v>
      </c>
      <c r="T496" s="4">
        <v>275.33499999999998</v>
      </c>
    </row>
    <row r="497" spans="1:20" ht="29.4" thickBot="1" x14ac:dyDescent="0.35">
      <c r="A497" s="2" t="s">
        <v>58</v>
      </c>
      <c r="B497" s="2" t="s">
        <v>44</v>
      </c>
      <c r="C497" s="2" t="s">
        <v>75</v>
      </c>
      <c r="D497" s="2" t="s">
        <v>278</v>
      </c>
      <c r="E497" s="2" t="s">
        <v>77</v>
      </c>
      <c r="F497" s="2" t="s">
        <v>279</v>
      </c>
      <c r="G497" s="2" t="s">
        <v>217</v>
      </c>
      <c r="H497" s="3">
        <v>44142</v>
      </c>
      <c r="I497" s="2" t="s">
        <v>95</v>
      </c>
      <c r="J497" s="2" t="s">
        <v>96</v>
      </c>
      <c r="K497" s="4">
        <v>2020</v>
      </c>
      <c r="L497" s="4">
        <v>1.056</v>
      </c>
      <c r="M497" s="4" t="s">
        <v>80</v>
      </c>
      <c r="N497" s="4" t="s">
        <v>63</v>
      </c>
      <c r="O497" s="4">
        <v>19.007999999999999</v>
      </c>
      <c r="P497" s="4">
        <v>1.7110000000000001</v>
      </c>
      <c r="Q497" s="12">
        <v>17.297000000000001</v>
      </c>
      <c r="R497" s="5">
        <v>22525</v>
      </c>
      <c r="S497" s="4">
        <v>325.24799999999999</v>
      </c>
      <c r="T497" s="4">
        <v>-307.95100000000002</v>
      </c>
    </row>
    <row r="498" spans="1:20" ht="29.4" thickBot="1" x14ac:dyDescent="0.35">
      <c r="A498" s="2" t="s">
        <v>43</v>
      </c>
      <c r="B498" s="2" t="s">
        <v>44</v>
      </c>
      <c r="C498" s="2" t="s">
        <v>75</v>
      </c>
      <c r="D498" s="2" t="s">
        <v>309</v>
      </c>
      <c r="E498" s="2" t="s">
        <v>77</v>
      </c>
      <c r="F498" s="2" t="s">
        <v>310</v>
      </c>
      <c r="G498" s="2" t="s">
        <v>217</v>
      </c>
      <c r="H498" s="3">
        <v>43854</v>
      </c>
      <c r="I498" s="2" t="s">
        <v>39</v>
      </c>
      <c r="J498" s="2" t="s">
        <v>40</v>
      </c>
      <c r="K498" s="4">
        <v>2020</v>
      </c>
      <c r="L498" s="4">
        <v>2.2400000000000002</v>
      </c>
      <c r="M498" s="4" t="s">
        <v>80</v>
      </c>
      <c r="N498" s="4" t="s">
        <v>47</v>
      </c>
      <c r="O498" s="4" t="s">
        <v>760</v>
      </c>
      <c r="P498" s="4">
        <v>90.72</v>
      </c>
      <c r="Q498" s="12">
        <v>917.28</v>
      </c>
      <c r="R498" s="4" t="s">
        <v>761</v>
      </c>
      <c r="S498" s="4">
        <v>689.92</v>
      </c>
      <c r="T498" s="4">
        <v>227.36</v>
      </c>
    </row>
    <row r="499" spans="1:20" ht="15" thickBot="1" x14ac:dyDescent="0.35">
      <c r="A499" s="2" t="s">
        <v>33</v>
      </c>
      <c r="B499" s="2" t="s">
        <v>68</v>
      </c>
      <c r="C499" s="2" t="s">
        <v>75</v>
      </c>
      <c r="D499" s="2" t="s">
        <v>347</v>
      </c>
      <c r="E499" s="2" t="s">
        <v>77</v>
      </c>
      <c r="F499" s="2" t="s">
        <v>230</v>
      </c>
      <c r="G499" s="2" t="s">
        <v>217</v>
      </c>
      <c r="H499" s="3">
        <v>44494</v>
      </c>
      <c r="I499" s="2" t="s">
        <v>115</v>
      </c>
      <c r="J499" s="2" t="s">
        <v>96</v>
      </c>
      <c r="K499" s="4">
        <v>2021</v>
      </c>
      <c r="L499" s="4">
        <v>1.472</v>
      </c>
      <c r="M499" s="4" t="s">
        <v>80</v>
      </c>
      <c r="N499" s="4" t="s">
        <v>42</v>
      </c>
      <c r="O499" s="4">
        <v>33.856000000000002</v>
      </c>
      <c r="P499" s="4">
        <v>3.0470000000000002</v>
      </c>
      <c r="Q499" s="12">
        <v>30.809000000000001</v>
      </c>
      <c r="R499" s="4" t="s">
        <v>744</v>
      </c>
      <c r="S499" s="4">
        <v>453.37599999999998</v>
      </c>
      <c r="T499" s="4">
        <v>-422.56700000000001</v>
      </c>
    </row>
    <row r="500" spans="1:20" ht="15" thickBot="1" x14ac:dyDescent="0.35">
      <c r="A500" s="2" t="s">
        <v>20</v>
      </c>
      <c r="B500" s="2" t="s">
        <v>59</v>
      </c>
      <c r="C500" s="2" t="s">
        <v>75</v>
      </c>
      <c r="D500" s="2" t="s">
        <v>534</v>
      </c>
      <c r="E500" s="2" t="s">
        <v>77</v>
      </c>
      <c r="F500" s="2" t="s">
        <v>238</v>
      </c>
      <c r="G500" s="2" t="s">
        <v>217</v>
      </c>
      <c r="H500" s="3">
        <v>44494</v>
      </c>
      <c r="I500" s="2" t="s">
        <v>115</v>
      </c>
      <c r="J500" s="2" t="s">
        <v>96</v>
      </c>
      <c r="K500" s="4">
        <v>2021</v>
      </c>
      <c r="L500" s="4">
        <v>1.052</v>
      </c>
      <c r="M500" s="4" t="s">
        <v>80</v>
      </c>
      <c r="N500" s="4" t="s">
        <v>30</v>
      </c>
      <c r="O500" s="4">
        <v>197.77600000000001</v>
      </c>
      <c r="P500" s="4">
        <v>17.8</v>
      </c>
      <c r="Q500" s="12">
        <v>179.976</v>
      </c>
      <c r="R500" s="4" t="s">
        <v>762</v>
      </c>
      <c r="S500" s="4">
        <v>324.01600000000002</v>
      </c>
      <c r="T500" s="4">
        <v>-144.04</v>
      </c>
    </row>
    <row r="501" spans="1:20" ht="29.4" thickBot="1" x14ac:dyDescent="0.35">
      <c r="A501" s="2" t="s">
        <v>49</v>
      </c>
      <c r="B501" s="2" t="s">
        <v>74</v>
      </c>
      <c r="C501" s="2" t="s">
        <v>120</v>
      </c>
      <c r="D501" s="2" t="s">
        <v>270</v>
      </c>
      <c r="E501" s="2" t="s">
        <v>122</v>
      </c>
      <c r="F501" s="2" t="s">
        <v>271</v>
      </c>
      <c r="G501" s="2" t="s">
        <v>217</v>
      </c>
      <c r="H501" s="3">
        <v>44426</v>
      </c>
      <c r="I501" s="2" t="s">
        <v>53</v>
      </c>
      <c r="J501" s="2" t="s">
        <v>28</v>
      </c>
      <c r="K501" s="4">
        <v>2021</v>
      </c>
      <c r="L501" s="4">
        <v>2.4849999999999999</v>
      </c>
      <c r="M501" s="4" t="s">
        <v>124</v>
      </c>
      <c r="N501" s="4" t="s">
        <v>54</v>
      </c>
      <c r="O501" s="4" t="s">
        <v>763</v>
      </c>
      <c r="P501" s="4">
        <v>117.416</v>
      </c>
      <c r="Q501" s="12" t="s">
        <v>764</v>
      </c>
      <c r="R501" s="4" t="s">
        <v>765</v>
      </c>
      <c r="S501" s="4">
        <v>795.2</v>
      </c>
      <c r="T501" s="4">
        <v>392.00900000000001</v>
      </c>
    </row>
    <row r="502" spans="1:20" ht="15" thickBot="1" x14ac:dyDescent="0.35">
      <c r="A502" s="2" t="s">
        <v>49</v>
      </c>
      <c r="B502" s="2" t="s">
        <v>68</v>
      </c>
      <c r="C502" s="2" t="s">
        <v>120</v>
      </c>
      <c r="D502" s="2" t="s">
        <v>212</v>
      </c>
      <c r="E502" s="2" t="s">
        <v>122</v>
      </c>
      <c r="F502" s="2" t="s">
        <v>213</v>
      </c>
      <c r="G502" s="2" t="s">
        <v>217</v>
      </c>
      <c r="H502" s="3">
        <v>43927</v>
      </c>
      <c r="I502" s="2" t="s">
        <v>91</v>
      </c>
      <c r="J502" s="2" t="s">
        <v>92</v>
      </c>
      <c r="K502" s="4">
        <v>2020</v>
      </c>
      <c r="L502" s="4">
        <v>1.5229999999999999</v>
      </c>
      <c r="M502" s="4" t="s">
        <v>124</v>
      </c>
      <c r="N502" s="4" t="s">
        <v>54</v>
      </c>
      <c r="O502" s="4">
        <v>799.57500000000005</v>
      </c>
      <c r="P502" s="4">
        <v>71.962000000000003</v>
      </c>
      <c r="Q502" s="12">
        <v>727.61300000000006</v>
      </c>
      <c r="R502" s="4" t="s">
        <v>753</v>
      </c>
      <c r="S502" s="4">
        <v>487.36</v>
      </c>
      <c r="T502" s="4">
        <v>240.25299999999999</v>
      </c>
    </row>
    <row r="503" spans="1:20" ht="15" thickBot="1" x14ac:dyDescent="0.35">
      <c r="A503" s="2" t="s">
        <v>49</v>
      </c>
      <c r="B503" s="2" t="s">
        <v>59</v>
      </c>
      <c r="C503" s="2" t="s">
        <v>120</v>
      </c>
      <c r="D503" s="2" t="s">
        <v>369</v>
      </c>
      <c r="E503" s="2" t="s">
        <v>122</v>
      </c>
      <c r="F503" s="2" t="s">
        <v>249</v>
      </c>
      <c r="G503" s="2" t="s">
        <v>217</v>
      </c>
      <c r="H503" s="3">
        <v>43939</v>
      </c>
      <c r="I503" s="2" t="s">
        <v>91</v>
      </c>
      <c r="J503" s="2" t="s">
        <v>92</v>
      </c>
      <c r="K503" s="4">
        <v>2020</v>
      </c>
      <c r="L503" s="4">
        <v>2.0329999999999999</v>
      </c>
      <c r="M503" s="4" t="s">
        <v>124</v>
      </c>
      <c r="N503" s="4" t="s">
        <v>165</v>
      </c>
      <c r="O503" s="4">
        <v>60.99</v>
      </c>
      <c r="P503" s="4">
        <v>5.4889999999999999</v>
      </c>
      <c r="Q503" s="12">
        <v>55.500999999999998</v>
      </c>
      <c r="R503" s="4" t="s">
        <v>766</v>
      </c>
      <c r="S503" s="4">
        <v>650.55999999999995</v>
      </c>
      <c r="T503" s="4">
        <v>-595.05899999999997</v>
      </c>
    </row>
    <row r="504" spans="1:20" ht="15" thickBot="1" x14ac:dyDescent="0.35">
      <c r="A504" s="2" t="s">
        <v>49</v>
      </c>
      <c r="B504" s="2" t="s">
        <v>74</v>
      </c>
      <c r="C504" s="2" t="s">
        <v>82</v>
      </c>
      <c r="D504" s="2" t="s">
        <v>219</v>
      </c>
      <c r="E504" s="2" t="s">
        <v>84</v>
      </c>
      <c r="F504" s="2" t="s">
        <v>220</v>
      </c>
      <c r="G504" s="2" t="s">
        <v>217</v>
      </c>
      <c r="H504" s="3">
        <v>44133</v>
      </c>
      <c r="I504" s="2" t="s">
        <v>115</v>
      </c>
      <c r="J504" s="2" t="s">
        <v>96</v>
      </c>
      <c r="K504" s="4">
        <v>2020</v>
      </c>
      <c r="L504" s="4">
        <v>796</v>
      </c>
      <c r="M504" s="4" t="s">
        <v>87</v>
      </c>
      <c r="N504" s="4" t="s">
        <v>165</v>
      </c>
      <c r="O504" s="4">
        <v>23.88</v>
      </c>
      <c r="P504" s="4">
        <v>2.149</v>
      </c>
      <c r="Q504" s="12">
        <v>21.731000000000002</v>
      </c>
      <c r="R504" s="6">
        <v>45850</v>
      </c>
      <c r="S504" s="4">
        <v>3.1840000000000002</v>
      </c>
      <c r="T504" s="4">
        <v>18.547000000000001</v>
      </c>
    </row>
    <row r="505" spans="1:20" ht="15" thickBot="1" x14ac:dyDescent="0.35">
      <c r="A505" s="2" t="s">
        <v>49</v>
      </c>
      <c r="B505" s="2" t="s">
        <v>34</v>
      </c>
      <c r="C505" s="2" t="s">
        <v>82</v>
      </c>
      <c r="D505" s="2" t="s">
        <v>197</v>
      </c>
      <c r="E505" s="2" t="s">
        <v>84</v>
      </c>
      <c r="F505" s="2" t="s">
        <v>198</v>
      </c>
      <c r="G505" s="2" t="s">
        <v>217</v>
      </c>
      <c r="H505" s="3">
        <v>44087</v>
      </c>
      <c r="I505" s="2" t="s">
        <v>27</v>
      </c>
      <c r="J505" s="2" t="s">
        <v>28</v>
      </c>
      <c r="K505" s="4">
        <v>2020</v>
      </c>
      <c r="L505" s="4">
        <v>983</v>
      </c>
      <c r="M505" s="4" t="s">
        <v>87</v>
      </c>
      <c r="N505" s="4" t="s">
        <v>116</v>
      </c>
      <c r="O505" s="4">
        <v>10.813000000000001</v>
      </c>
      <c r="P505" s="4">
        <v>973</v>
      </c>
      <c r="Q505" s="12">
        <v>9.84</v>
      </c>
      <c r="R505" s="5">
        <v>44682</v>
      </c>
      <c r="S505" s="4">
        <v>3.9319999999999999</v>
      </c>
      <c r="T505" s="4">
        <v>5.9080000000000004</v>
      </c>
    </row>
    <row r="506" spans="1:20" ht="29.4" thickBot="1" x14ac:dyDescent="0.35">
      <c r="A506" s="2" t="s">
        <v>58</v>
      </c>
      <c r="B506" s="2" t="s">
        <v>34</v>
      </c>
      <c r="C506" s="2" t="s">
        <v>82</v>
      </c>
      <c r="D506" s="2" t="s">
        <v>89</v>
      </c>
      <c r="E506" s="2" t="s">
        <v>84</v>
      </c>
      <c r="F506" s="2" t="s">
        <v>90</v>
      </c>
      <c r="G506" s="2" t="s">
        <v>217</v>
      </c>
      <c r="H506" s="3">
        <v>44217</v>
      </c>
      <c r="I506" s="2" t="s">
        <v>39</v>
      </c>
      <c r="J506" s="2" t="s">
        <v>40</v>
      </c>
      <c r="K506" s="4">
        <v>2021</v>
      </c>
      <c r="L506" s="4">
        <v>1.8959999999999999</v>
      </c>
      <c r="M506" s="4" t="s">
        <v>87</v>
      </c>
      <c r="N506" s="4" t="s">
        <v>63</v>
      </c>
      <c r="O506" s="4">
        <v>34.128</v>
      </c>
      <c r="P506" s="4">
        <v>3.0720000000000001</v>
      </c>
      <c r="Q506" s="12">
        <v>31.056000000000001</v>
      </c>
      <c r="R506" s="4" t="s">
        <v>767</v>
      </c>
      <c r="S506" s="4">
        <v>7.5839999999999996</v>
      </c>
      <c r="T506" s="4">
        <v>23.472000000000001</v>
      </c>
    </row>
    <row r="507" spans="1:20" ht="15" thickBot="1" x14ac:dyDescent="0.35">
      <c r="A507" s="2" t="s">
        <v>49</v>
      </c>
      <c r="B507" s="2" t="s">
        <v>34</v>
      </c>
      <c r="C507" s="2" t="s">
        <v>82</v>
      </c>
      <c r="D507" s="2" t="s">
        <v>275</v>
      </c>
      <c r="E507" s="2" t="s">
        <v>84</v>
      </c>
      <c r="F507" s="2" t="s">
        <v>276</v>
      </c>
      <c r="G507" s="2" t="s">
        <v>217</v>
      </c>
      <c r="H507" s="3">
        <v>44130</v>
      </c>
      <c r="I507" s="2" t="s">
        <v>115</v>
      </c>
      <c r="J507" s="2" t="s">
        <v>96</v>
      </c>
      <c r="K507" s="4">
        <v>2020</v>
      </c>
      <c r="L507" s="4">
        <v>625</v>
      </c>
      <c r="M507" s="4" t="s">
        <v>87</v>
      </c>
      <c r="N507" s="4" t="s">
        <v>116</v>
      </c>
      <c r="O507" s="4">
        <v>6.875</v>
      </c>
      <c r="P507" s="4">
        <v>619</v>
      </c>
      <c r="Q507" s="12">
        <v>6.2560000000000002</v>
      </c>
      <c r="R507" s="5">
        <v>11749</v>
      </c>
      <c r="S507" s="4">
        <v>2.5</v>
      </c>
      <c r="T507" s="4">
        <v>3.7559999999999998</v>
      </c>
    </row>
    <row r="508" spans="1:20" ht="15" thickBot="1" x14ac:dyDescent="0.35">
      <c r="A508" s="2" t="s">
        <v>49</v>
      </c>
      <c r="B508" s="2" t="s">
        <v>44</v>
      </c>
      <c r="C508" s="2" t="s">
        <v>35</v>
      </c>
      <c r="D508" s="2" t="s">
        <v>150</v>
      </c>
      <c r="E508" s="2" t="s">
        <v>37</v>
      </c>
      <c r="F508" s="2" t="s">
        <v>151</v>
      </c>
      <c r="G508" s="2" t="s">
        <v>217</v>
      </c>
      <c r="H508" s="3">
        <v>43836</v>
      </c>
      <c r="I508" s="2" t="s">
        <v>39</v>
      </c>
      <c r="J508" s="2" t="s">
        <v>40</v>
      </c>
      <c r="K508" s="4">
        <v>2020</v>
      </c>
      <c r="L508" s="4">
        <v>1.1679999999999999</v>
      </c>
      <c r="M508" s="4" t="s">
        <v>41</v>
      </c>
      <c r="N508" s="4" t="s">
        <v>165</v>
      </c>
      <c r="O508" s="4">
        <v>35.04</v>
      </c>
      <c r="P508" s="4">
        <v>3.1539999999999999</v>
      </c>
      <c r="Q508" s="12">
        <v>31.885999999999999</v>
      </c>
      <c r="R508" s="4" t="s">
        <v>768</v>
      </c>
      <c r="S508" s="4">
        <v>14.016</v>
      </c>
      <c r="T508" s="4">
        <v>17.87</v>
      </c>
    </row>
    <row r="509" spans="1:20" ht="15" thickBot="1" x14ac:dyDescent="0.35">
      <c r="A509" s="2" t="s">
        <v>49</v>
      </c>
      <c r="B509" s="2" t="s">
        <v>74</v>
      </c>
      <c r="C509" s="2" t="s">
        <v>35</v>
      </c>
      <c r="D509" s="2" t="s">
        <v>191</v>
      </c>
      <c r="E509" s="2" t="s">
        <v>37</v>
      </c>
      <c r="F509" s="2" t="s">
        <v>192</v>
      </c>
      <c r="G509" s="2" t="s">
        <v>217</v>
      </c>
      <c r="H509" s="3">
        <v>44413</v>
      </c>
      <c r="I509" s="2" t="s">
        <v>53</v>
      </c>
      <c r="J509" s="2" t="s">
        <v>28</v>
      </c>
      <c r="K509" s="4">
        <v>2021</v>
      </c>
      <c r="L509" s="4">
        <v>1.246</v>
      </c>
      <c r="M509" s="4" t="s">
        <v>41</v>
      </c>
      <c r="N509" s="4" t="s">
        <v>165</v>
      </c>
      <c r="O509" s="4">
        <v>37.380000000000003</v>
      </c>
      <c r="P509" s="4">
        <v>3.3639999999999999</v>
      </c>
      <c r="Q509" s="12">
        <v>34.015999999999998</v>
      </c>
      <c r="R509" s="4" t="s">
        <v>769</v>
      </c>
      <c r="S509" s="4">
        <v>14.952</v>
      </c>
      <c r="T509" s="4">
        <v>19.064</v>
      </c>
    </row>
    <row r="510" spans="1:20" ht="15" thickBot="1" x14ac:dyDescent="0.35">
      <c r="A510" s="2" t="s">
        <v>49</v>
      </c>
      <c r="B510" s="2" t="s">
        <v>74</v>
      </c>
      <c r="C510" s="2" t="s">
        <v>35</v>
      </c>
      <c r="D510" s="2" t="s">
        <v>293</v>
      </c>
      <c r="E510" s="2" t="s">
        <v>37</v>
      </c>
      <c r="F510" s="2" t="s">
        <v>294</v>
      </c>
      <c r="G510" s="2" t="s">
        <v>217</v>
      </c>
      <c r="H510" s="3">
        <v>43966</v>
      </c>
      <c r="I510" s="2" t="s">
        <v>142</v>
      </c>
      <c r="J510" s="2" t="s">
        <v>92</v>
      </c>
      <c r="K510" s="4">
        <v>2020</v>
      </c>
      <c r="L510" s="4">
        <v>432</v>
      </c>
      <c r="M510" s="4" t="s">
        <v>41</v>
      </c>
      <c r="N510" s="4" t="s">
        <v>116</v>
      </c>
      <c r="O510" s="4">
        <v>4.7519999999999998</v>
      </c>
      <c r="P510" s="4">
        <v>428</v>
      </c>
      <c r="Q510" s="12">
        <v>4.3239999999999998</v>
      </c>
      <c r="R510" s="5">
        <v>47150</v>
      </c>
      <c r="S510" s="4">
        <v>5.1840000000000002</v>
      </c>
      <c r="T510" s="4">
        <v>-860</v>
      </c>
    </row>
    <row r="511" spans="1:20" ht="29.4" thickBot="1" x14ac:dyDescent="0.35">
      <c r="A511" s="2" t="s">
        <v>58</v>
      </c>
      <c r="B511" s="2" t="s">
        <v>44</v>
      </c>
      <c r="C511" s="2" t="s">
        <v>69</v>
      </c>
      <c r="D511" s="2" t="s">
        <v>532</v>
      </c>
      <c r="E511" s="2" t="s">
        <v>71</v>
      </c>
      <c r="F511" s="2" t="s">
        <v>310</v>
      </c>
      <c r="G511" s="2" t="s">
        <v>217</v>
      </c>
      <c r="H511" s="3">
        <v>43892</v>
      </c>
      <c r="I511" s="2" t="s">
        <v>112</v>
      </c>
      <c r="J511" s="2" t="s">
        <v>40</v>
      </c>
      <c r="K511" s="4">
        <v>2020</v>
      </c>
      <c r="L511" s="4">
        <v>2.36</v>
      </c>
      <c r="M511" s="4" t="s">
        <v>73</v>
      </c>
      <c r="N511" s="4" t="s">
        <v>63</v>
      </c>
      <c r="O511" s="4">
        <v>42.48</v>
      </c>
      <c r="P511" s="4">
        <v>3.823</v>
      </c>
      <c r="Q511" s="12">
        <v>38.656999999999996</v>
      </c>
      <c r="R511" s="4" t="s">
        <v>770</v>
      </c>
      <c r="S511" s="4">
        <v>349.28</v>
      </c>
      <c r="T511" s="4">
        <v>-310.62299999999999</v>
      </c>
    </row>
    <row r="512" spans="1:20" ht="15" thickBot="1" x14ac:dyDescent="0.35">
      <c r="A512" s="2" t="s">
        <v>33</v>
      </c>
      <c r="B512" s="2" t="s">
        <v>44</v>
      </c>
      <c r="C512" s="2" t="s">
        <v>69</v>
      </c>
      <c r="D512" s="2" t="s">
        <v>361</v>
      </c>
      <c r="E512" s="2" t="s">
        <v>71</v>
      </c>
      <c r="F512" s="2" t="s">
        <v>362</v>
      </c>
      <c r="G512" s="2" t="s">
        <v>217</v>
      </c>
      <c r="H512" s="3">
        <v>44186</v>
      </c>
      <c r="I512" s="2" t="s">
        <v>100</v>
      </c>
      <c r="J512" s="2" t="s">
        <v>96</v>
      </c>
      <c r="K512" s="4">
        <v>2020</v>
      </c>
      <c r="L512" s="4">
        <v>3.1539999999999999</v>
      </c>
      <c r="M512" s="4" t="s">
        <v>73</v>
      </c>
      <c r="N512" s="4" t="s">
        <v>42</v>
      </c>
      <c r="O512" s="4">
        <v>72.542000000000002</v>
      </c>
      <c r="P512" s="4">
        <v>6.5289999999999999</v>
      </c>
      <c r="Q512" s="12">
        <v>66.013000000000005</v>
      </c>
      <c r="R512" s="4" t="s">
        <v>771</v>
      </c>
      <c r="S512" s="4">
        <v>466.79199999999997</v>
      </c>
      <c r="T512" s="4">
        <v>-400.779</v>
      </c>
    </row>
    <row r="513" spans="1:20" ht="15" thickBot="1" x14ac:dyDescent="0.35">
      <c r="A513" s="2" t="s">
        <v>49</v>
      </c>
      <c r="B513" s="2" t="s">
        <v>74</v>
      </c>
      <c r="C513" s="2" t="s">
        <v>75</v>
      </c>
      <c r="D513" s="2" t="s">
        <v>244</v>
      </c>
      <c r="E513" s="2" t="s">
        <v>77</v>
      </c>
      <c r="F513" s="2" t="s">
        <v>245</v>
      </c>
      <c r="G513" s="2" t="s">
        <v>217</v>
      </c>
      <c r="H513" s="3">
        <v>44534</v>
      </c>
      <c r="I513" s="2" t="s">
        <v>100</v>
      </c>
      <c r="J513" s="2" t="s">
        <v>96</v>
      </c>
      <c r="K513" s="4">
        <v>2021</v>
      </c>
      <c r="L513" s="4">
        <v>432</v>
      </c>
      <c r="M513" s="4" t="s">
        <v>80</v>
      </c>
      <c r="N513" s="4" t="s">
        <v>116</v>
      </c>
      <c r="O513" s="4">
        <v>4.7519999999999998</v>
      </c>
      <c r="P513" s="4">
        <v>428</v>
      </c>
      <c r="Q513" s="12">
        <v>4.3239999999999998</v>
      </c>
      <c r="R513" s="5">
        <v>47150</v>
      </c>
      <c r="S513" s="4">
        <v>133.05600000000001</v>
      </c>
      <c r="T513" s="4">
        <v>-128.732</v>
      </c>
    </row>
    <row r="514" spans="1:20" ht="15" thickBot="1" x14ac:dyDescent="0.35">
      <c r="A514" s="2" t="s">
        <v>49</v>
      </c>
      <c r="B514" s="2" t="s">
        <v>34</v>
      </c>
      <c r="C514" s="2" t="s">
        <v>75</v>
      </c>
      <c r="D514" s="2" t="s">
        <v>171</v>
      </c>
      <c r="E514" s="2" t="s">
        <v>77</v>
      </c>
      <c r="F514" s="2" t="s">
        <v>172</v>
      </c>
      <c r="G514" s="2" t="s">
        <v>217</v>
      </c>
      <c r="H514" s="3">
        <v>44240</v>
      </c>
      <c r="I514" s="2" t="s">
        <v>79</v>
      </c>
      <c r="J514" s="2" t="s">
        <v>40</v>
      </c>
      <c r="K514" s="4">
        <v>2021</v>
      </c>
      <c r="L514" s="4">
        <v>625</v>
      </c>
      <c r="M514" s="4" t="s">
        <v>80</v>
      </c>
      <c r="N514" s="4" t="s">
        <v>116</v>
      </c>
      <c r="O514" s="4">
        <v>6.875</v>
      </c>
      <c r="P514" s="4">
        <v>619</v>
      </c>
      <c r="Q514" s="12">
        <v>6.2560000000000002</v>
      </c>
      <c r="R514" s="5">
        <v>11749</v>
      </c>
      <c r="S514" s="4">
        <v>192.5</v>
      </c>
      <c r="T514" s="4">
        <v>-186.244</v>
      </c>
    </row>
    <row r="515" spans="1:20" ht="15" thickBot="1" x14ac:dyDescent="0.35">
      <c r="A515" s="2" t="s">
        <v>49</v>
      </c>
      <c r="B515" s="2" t="s">
        <v>59</v>
      </c>
      <c r="C515" s="2" t="s">
        <v>120</v>
      </c>
      <c r="D515" s="2" t="s">
        <v>369</v>
      </c>
      <c r="E515" s="2" t="s">
        <v>122</v>
      </c>
      <c r="F515" s="2" t="s">
        <v>249</v>
      </c>
      <c r="G515" s="2" t="s">
        <v>217</v>
      </c>
      <c r="H515" s="3">
        <v>44372</v>
      </c>
      <c r="I515" s="2" t="s">
        <v>205</v>
      </c>
      <c r="J515" s="2" t="s">
        <v>92</v>
      </c>
      <c r="K515" s="4">
        <v>2021</v>
      </c>
      <c r="L515" s="4">
        <v>1.246</v>
      </c>
      <c r="M515" s="4" t="s">
        <v>124</v>
      </c>
      <c r="N515" s="4" t="s">
        <v>165</v>
      </c>
      <c r="O515" s="4">
        <v>37.380000000000003</v>
      </c>
      <c r="P515" s="4">
        <v>3.3639999999999999</v>
      </c>
      <c r="Q515" s="12">
        <v>34.015999999999998</v>
      </c>
      <c r="R515" s="4" t="s">
        <v>769</v>
      </c>
      <c r="S515" s="4">
        <v>398.72</v>
      </c>
      <c r="T515" s="4">
        <v>-364.70400000000001</v>
      </c>
    </row>
    <row r="516" spans="1:20" ht="15" thickBot="1" x14ac:dyDescent="0.35">
      <c r="A516" s="2" t="s">
        <v>33</v>
      </c>
      <c r="B516" s="2" t="s">
        <v>68</v>
      </c>
      <c r="C516" s="2" t="s">
        <v>120</v>
      </c>
      <c r="D516" s="2" t="s">
        <v>411</v>
      </c>
      <c r="E516" s="2" t="s">
        <v>122</v>
      </c>
      <c r="F516" s="2" t="s">
        <v>412</v>
      </c>
      <c r="G516" s="2" t="s">
        <v>217</v>
      </c>
      <c r="H516" s="3">
        <v>43960</v>
      </c>
      <c r="I516" s="2" t="s">
        <v>142</v>
      </c>
      <c r="J516" s="2" t="s">
        <v>92</v>
      </c>
      <c r="K516" s="4">
        <v>2020</v>
      </c>
      <c r="L516" s="4">
        <v>1.9570000000000001</v>
      </c>
      <c r="M516" s="4" t="s">
        <v>124</v>
      </c>
      <c r="N516" s="4" t="s">
        <v>42</v>
      </c>
      <c r="O516" s="4">
        <v>45.011000000000003</v>
      </c>
      <c r="P516" s="4">
        <v>4.0510000000000002</v>
      </c>
      <c r="Q516" s="12">
        <v>40.96</v>
      </c>
      <c r="R516" s="4" t="s">
        <v>772</v>
      </c>
      <c r="S516" s="4">
        <v>626.24</v>
      </c>
      <c r="T516" s="4">
        <v>-585.28</v>
      </c>
    </row>
    <row r="517" spans="1:20" ht="15" thickBot="1" x14ac:dyDescent="0.35">
      <c r="A517" s="2" t="s">
        <v>49</v>
      </c>
      <c r="B517" s="2" t="s">
        <v>44</v>
      </c>
      <c r="C517" s="2" t="s">
        <v>22</v>
      </c>
      <c r="D517" s="2" t="s">
        <v>391</v>
      </c>
      <c r="E517" s="2" t="s">
        <v>24</v>
      </c>
      <c r="F517" s="2" t="s">
        <v>310</v>
      </c>
      <c r="G517" s="2" t="s">
        <v>336</v>
      </c>
      <c r="H517" s="3">
        <v>44126</v>
      </c>
      <c r="I517" s="2" t="s">
        <v>115</v>
      </c>
      <c r="J517" s="2" t="s">
        <v>96</v>
      </c>
      <c r="K517" s="4">
        <v>2020</v>
      </c>
      <c r="L517" s="4">
        <v>2.794</v>
      </c>
      <c r="M517" s="4" t="s">
        <v>29</v>
      </c>
      <c r="N517" s="4" t="s">
        <v>116</v>
      </c>
      <c r="O517" s="4">
        <v>30.734000000000002</v>
      </c>
      <c r="P517" s="4">
        <v>3.073</v>
      </c>
      <c r="Q517" s="12">
        <v>27.661000000000001</v>
      </c>
      <c r="R517" s="4" t="s">
        <v>773</v>
      </c>
      <c r="S517" s="4">
        <v>16.763999999999999</v>
      </c>
      <c r="T517" s="4">
        <v>10.897</v>
      </c>
    </row>
    <row r="518" spans="1:20" ht="15" thickBot="1" x14ac:dyDescent="0.35">
      <c r="A518" s="2" t="s">
        <v>20</v>
      </c>
      <c r="B518" s="2" t="s">
        <v>21</v>
      </c>
      <c r="C518" s="2" t="s">
        <v>82</v>
      </c>
      <c r="D518" s="2" t="s">
        <v>83</v>
      </c>
      <c r="E518" s="2" t="s">
        <v>84</v>
      </c>
      <c r="F518" s="2" t="s">
        <v>85</v>
      </c>
      <c r="G518" s="2" t="s">
        <v>336</v>
      </c>
      <c r="H518" s="3">
        <v>44129</v>
      </c>
      <c r="I518" s="2" t="s">
        <v>115</v>
      </c>
      <c r="J518" s="2" t="s">
        <v>96</v>
      </c>
      <c r="K518" s="4">
        <v>2020</v>
      </c>
      <c r="L518" s="4">
        <v>4.1349999999999998</v>
      </c>
      <c r="M518" s="4" t="s">
        <v>87</v>
      </c>
      <c r="N518" s="4" t="s">
        <v>30</v>
      </c>
      <c r="O518" s="4">
        <v>777.38</v>
      </c>
      <c r="P518" s="4">
        <v>77.738</v>
      </c>
      <c r="Q518" s="12">
        <v>699.64200000000005</v>
      </c>
      <c r="R518" s="4" t="s">
        <v>774</v>
      </c>
      <c r="S518" s="4">
        <v>16.54</v>
      </c>
      <c r="T518" s="4">
        <v>683.10199999999998</v>
      </c>
    </row>
    <row r="519" spans="1:20" ht="15" thickBot="1" x14ac:dyDescent="0.35">
      <c r="A519" s="2" t="s">
        <v>49</v>
      </c>
      <c r="B519" s="2" t="s">
        <v>44</v>
      </c>
      <c r="C519" s="2" t="s">
        <v>22</v>
      </c>
      <c r="D519" s="2" t="s">
        <v>391</v>
      </c>
      <c r="E519" s="2" t="s">
        <v>24</v>
      </c>
      <c r="F519" s="2" t="s">
        <v>310</v>
      </c>
      <c r="G519" s="2" t="s">
        <v>336</v>
      </c>
      <c r="H519" s="3">
        <v>44354</v>
      </c>
      <c r="I519" s="2" t="s">
        <v>205</v>
      </c>
      <c r="J519" s="2" t="s">
        <v>92</v>
      </c>
      <c r="K519" s="4">
        <v>2021</v>
      </c>
      <c r="L519" s="4">
        <v>2.7759999999999998</v>
      </c>
      <c r="M519" s="4" t="s">
        <v>29</v>
      </c>
      <c r="N519" s="4" t="s">
        <v>54</v>
      </c>
      <c r="O519" s="4" t="s">
        <v>775</v>
      </c>
      <c r="P519" s="4">
        <v>145.74</v>
      </c>
      <c r="Q519" s="12" t="s">
        <v>776</v>
      </c>
      <c r="R519" s="4" t="s">
        <v>777</v>
      </c>
      <c r="S519" s="4">
        <v>16.655999999999999</v>
      </c>
      <c r="T519" s="4" t="s">
        <v>778</v>
      </c>
    </row>
    <row r="520" spans="1:20" ht="15" thickBot="1" x14ac:dyDescent="0.35">
      <c r="A520" s="2" t="s">
        <v>33</v>
      </c>
      <c r="B520" s="2" t="s">
        <v>21</v>
      </c>
      <c r="C520" s="2" t="s">
        <v>22</v>
      </c>
      <c r="D520" s="2" t="s">
        <v>703</v>
      </c>
      <c r="E520" s="2" t="s">
        <v>24</v>
      </c>
      <c r="F520" s="2" t="s">
        <v>298</v>
      </c>
      <c r="G520" s="2" t="s">
        <v>336</v>
      </c>
      <c r="H520" s="3">
        <v>43944</v>
      </c>
      <c r="I520" s="2" t="s">
        <v>91</v>
      </c>
      <c r="J520" s="2" t="s">
        <v>92</v>
      </c>
      <c r="K520" s="4">
        <v>2020</v>
      </c>
      <c r="L520" s="4">
        <v>2.4860000000000002</v>
      </c>
      <c r="M520" s="4" t="s">
        <v>29</v>
      </c>
      <c r="N520" s="4" t="s">
        <v>42</v>
      </c>
      <c r="O520" s="4">
        <v>57.177999999999997</v>
      </c>
      <c r="P520" s="4">
        <v>5.718</v>
      </c>
      <c r="Q520" s="12">
        <v>51.46</v>
      </c>
      <c r="R520" s="4" t="s">
        <v>724</v>
      </c>
      <c r="S520" s="4">
        <v>14.916</v>
      </c>
      <c r="T520" s="4">
        <v>36.543999999999997</v>
      </c>
    </row>
    <row r="521" spans="1:20" ht="15" thickBot="1" x14ac:dyDescent="0.35">
      <c r="A521" s="2" t="s">
        <v>49</v>
      </c>
      <c r="B521" s="2" t="s">
        <v>50</v>
      </c>
      <c r="C521" s="2" t="s">
        <v>35</v>
      </c>
      <c r="D521" s="2" t="s">
        <v>233</v>
      </c>
      <c r="E521" s="2" t="s">
        <v>37</v>
      </c>
      <c r="F521" s="2" t="s">
        <v>234</v>
      </c>
      <c r="G521" s="2" t="s">
        <v>336</v>
      </c>
      <c r="H521" s="3">
        <v>43846</v>
      </c>
      <c r="I521" s="2" t="s">
        <v>39</v>
      </c>
      <c r="J521" s="2" t="s">
        <v>40</v>
      </c>
      <c r="K521" s="4">
        <v>2020</v>
      </c>
      <c r="L521" s="4">
        <v>2.3450000000000002</v>
      </c>
      <c r="M521" s="4" t="s">
        <v>41</v>
      </c>
      <c r="N521" s="4" t="s">
        <v>165</v>
      </c>
      <c r="O521" s="4">
        <v>70.349999999999994</v>
      </c>
      <c r="P521" s="4">
        <v>7.0350000000000001</v>
      </c>
      <c r="Q521" s="12">
        <v>63.314999999999998</v>
      </c>
      <c r="R521" s="4" t="s">
        <v>779</v>
      </c>
      <c r="S521" s="4">
        <v>28.14</v>
      </c>
      <c r="T521" s="4">
        <v>35.174999999999997</v>
      </c>
    </row>
    <row r="522" spans="1:20" ht="29.4" thickBot="1" x14ac:dyDescent="0.35">
      <c r="A522" s="2" t="s">
        <v>43</v>
      </c>
      <c r="B522" s="2" t="s">
        <v>44</v>
      </c>
      <c r="C522" s="2" t="s">
        <v>35</v>
      </c>
      <c r="D522" s="2" t="s">
        <v>45</v>
      </c>
      <c r="E522" s="2" t="s">
        <v>37</v>
      </c>
      <c r="F522" s="2" t="s">
        <v>46</v>
      </c>
      <c r="G522" s="2" t="s">
        <v>336</v>
      </c>
      <c r="H522" s="3">
        <v>44308</v>
      </c>
      <c r="I522" s="2" t="s">
        <v>91</v>
      </c>
      <c r="J522" s="2" t="s">
        <v>92</v>
      </c>
      <c r="K522" s="4">
        <v>2021</v>
      </c>
      <c r="L522" s="4">
        <v>709</v>
      </c>
      <c r="M522" s="4" t="s">
        <v>41</v>
      </c>
      <c r="N522" s="4" t="s">
        <v>47</v>
      </c>
      <c r="O522" s="4">
        <v>319.05</v>
      </c>
      <c r="P522" s="4">
        <v>31.905000000000001</v>
      </c>
      <c r="Q522" s="12">
        <v>287.14499999999998</v>
      </c>
      <c r="R522" s="4" t="s">
        <v>780</v>
      </c>
      <c r="S522" s="4">
        <v>8.5079999999999991</v>
      </c>
      <c r="T522" s="4">
        <v>278.637</v>
      </c>
    </row>
    <row r="523" spans="1:20" ht="15" thickBot="1" x14ac:dyDescent="0.35">
      <c r="A523" s="2" t="s">
        <v>49</v>
      </c>
      <c r="B523" s="2" t="s">
        <v>74</v>
      </c>
      <c r="C523" s="2" t="s">
        <v>35</v>
      </c>
      <c r="D523" s="2" t="s">
        <v>293</v>
      </c>
      <c r="E523" s="2" t="s">
        <v>37</v>
      </c>
      <c r="F523" s="2" t="s">
        <v>294</v>
      </c>
      <c r="G523" s="2" t="s">
        <v>336</v>
      </c>
      <c r="H523" s="3">
        <v>44493</v>
      </c>
      <c r="I523" s="2" t="s">
        <v>115</v>
      </c>
      <c r="J523" s="2" t="s">
        <v>96</v>
      </c>
      <c r="K523" s="4">
        <v>2021</v>
      </c>
      <c r="L523" s="4">
        <v>289</v>
      </c>
      <c r="M523" s="4" t="s">
        <v>41</v>
      </c>
      <c r="N523" s="4" t="s">
        <v>165</v>
      </c>
      <c r="O523" s="4">
        <v>8.67</v>
      </c>
      <c r="P523" s="4">
        <v>867</v>
      </c>
      <c r="Q523" s="12">
        <v>7.8029999999999999</v>
      </c>
      <c r="R523" s="5">
        <v>12510</v>
      </c>
      <c r="S523" s="4">
        <v>3.468</v>
      </c>
      <c r="T523" s="4">
        <v>4.335</v>
      </c>
    </row>
    <row r="524" spans="1:20" ht="15" thickBot="1" x14ac:dyDescent="0.35">
      <c r="A524" s="2" t="s">
        <v>33</v>
      </c>
      <c r="B524" s="2" t="s">
        <v>74</v>
      </c>
      <c r="C524" s="2" t="s">
        <v>69</v>
      </c>
      <c r="D524" s="2" t="s">
        <v>382</v>
      </c>
      <c r="E524" s="2" t="s">
        <v>71</v>
      </c>
      <c r="F524" s="2" t="s">
        <v>383</v>
      </c>
      <c r="G524" s="2" t="s">
        <v>336</v>
      </c>
      <c r="H524" s="3">
        <v>43970</v>
      </c>
      <c r="I524" s="2" t="s">
        <v>142</v>
      </c>
      <c r="J524" s="2" t="s">
        <v>92</v>
      </c>
      <c r="K524" s="4">
        <v>2020</v>
      </c>
      <c r="L524" s="4">
        <v>817</v>
      </c>
      <c r="M524" s="4" t="s">
        <v>73</v>
      </c>
      <c r="N524" s="4" t="s">
        <v>42</v>
      </c>
      <c r="O524" s="4">
        <v>18.791</v>
      </c>
      <c r="P524" s="4">
        <v>1.879</v>
      </c>
      <c r="Q524" s="12">
        <v>16.911999999999999</v>
      </c>
      <c r="R524" s="5">
        <v>43709</v>
      </c>
      <c r="S524" s="4">
        <v>120.916</v>
      </c>
      <c r="T524" s="4">
        <v>-104.004</v>
      </c>
    </row>
    <row r="525" spans="1:20" ht="15" thickBot="1" x14ac:dyDescent="0.35">
      <c r="A525" s="2" t="s">
        <v>33</v>
      </c>
      <c r="B525" s="2" t="s">
        <v>74</v>
      </c>
      <c r="C525" s="2" t="s">
        <v>69</v>
      </c>
      <c r="D525" s="2" t="s">
        <v>382</v>
      </c>
      <c r="E525" s="2" t="s">
        <v>71</v>
      </c>
      <c r="F525" s="2" t="s">
        <v>383</v>
      </c>
      <c r="G525" s="2" t="s">
        <v>336</v>
      </c>
      <c r="H525" s="3">
        <v>44232</v>
      </c>
      <c r="I525" s="2" t="s">
        <v>79</v>
      </c>
      <c r="J525" s="2" t="s">
        <v>40</v>
      </c>
      <c r="K525" s="4">
        <v>2021</v>
      </c>
      <c r="L525" s="4">
        <v>612</v>
      </c>
      <c r="M525" s="4" t="s">
        <v>73</v>
      </c>
      <c r="N525" s="4" t="s">
        <v>42</v>
      </c>
      <c r="O525" s="4">
        <v>14.076000000000001</v>
      </c>
      <c r="P525" s="4">
        <v>1.4079999999999999</v>
      </c>
      <c r="Q525" s="12">
        <v>12.667999999999999</v>
      </c>
      <c r="R525" s="5">
        <v>32660</v>
      </c>
      <c r="S525" s="4">
        <v>90.575999999999993</v>
      </c>
      <c r="T525" s="4">
        <v>-77.908000000000001</v>
      </c>
    </row>
    <row r="526" spans="1:20" ht="15" thickBot="1" x14ac:dyDescent="0.35">
      <c r="A526" s="2" t="s">
        <v>33</v>
      </c>
      <c r="B526" s="2" t="s">
        <v>68</v>
      </c>
      <c r="C526" s="2" t="s">
        <v>69</v>
      </c>
      <c r="D526" s="2" t="s">
        <v>633</v>
      </c>
      <c r="E526" s="2" t="s">
        <v>71</v>
      </c>
      <c r="F526" s="2" t="s">
        <v>230</v>
      </c>
      <c r="G526" s="2" t="s">
        <v>336</v>
      </c>
      <c r="H526" s="3">
        <v>44172</v>
      </c>
      <c r="I526" s="2" t="s">
        <v>100</v>
      </c>
      <c r="J526" s="2" t="s">
        <v>96</v>
      </c>
      <c r="K526" s="4">
        <v>2020</v>
      </c>
      <c r="L526" s="4">
        <v>948</v>
      </c>
      <c r="M526" s="4" t="s">
        <v>73</v>
      </c>
      <c r="N526" s="4" t="s">
        <v>42</v>
      </c>
      <c r="O526" s="4">
        <v>21.803999999999998</v>
      </c>
      <c r="P526" s="4">
        <v>2.1800000000000002</v>
      </c>
      <c r="Q526" s="12">
        <v>19.623999999999999</v>
      </c>
      <c r="R526" s="5">
        <v>24746</v>
      </c>
      <c r="S526" s="4">
        <v>140.304</v>
      </c>
      <c r="T526" s="4">
        <v>-120.68</v>
      </c>
    </row>
    <row r="527" spans="1:20" ht="15" thickBot="1" x14ac:dyDescent="0.35">
      <c r="A527" s="2" t="s">
        <v>49</v>
      </c>
      <c r="B527" s="2" t="s">
        <v>64</v>
      </c>
      <c r="C527" s="2" t="s">
        <v>69</v>
      </c>
      <c r="D527" s="2" t="s">
        <v>239</v>
      </c>
      <c r="E527" s="2" t="s">
        <v>71</v>
      </c>
      <c r="F527" s="2" t="s">
        <v>240</v>
      </c>
      <c r="G527" s="2" t="s">
        <v>336</v>
      </c>
      <c r="H527" s="3">
        <v>43996</v>
      </c>
      <c r="I527" s="2" t="s">
        <v>205</v>
      </c>
      <c r="J527" s="2" t="s">
        <v>92</v>
      </c>
      <c r="K527" s="4">
        <v>2020</v>
      </c>
      <c r="L527" s="4">
        <v>767</v>
      </c>
      <c r="M527" s="4" t="s">
        <v>73</v>
      </c>
      <c r="N527" s="4" t="s">
        <v>54</v>
      </c>
      <c r="O527" s="4">
        <v>402.67500000000001</v>
      </c>
      <c r="P527" s="4">
        <v>40.268000000000001</v>
      </c>
      <c r="Q527" s="12">
        <v>362.40800000000002</v>
      </c>
      <c r="R527" s="4" t="s">
        <v>781</v>
      </c>
      <c r="S527" s="4">
        <v>113.51600000000001</v>
      </c>
      <c r="T527" s="4">
        <v>248.892</v>
      </c>
    </row>
    <row r="528" spans="1:20" ht="15" thickBot="1" x14ac:dyDescent="0.35">
      <c r="A528" s="2" t="s">
        <v>20</v>
      </c>
      <c r="B528" s="2" t="s">
        <v>68</v>
      </c>
      <c r="C528" s="2" t="s">
        <v>69</v>
      </c>
      <c r="D528" s="2" t="s">
        <v>110</v>
      </c>
      <c r="E528" s="2" t="s">
        <v>71</v>
      </c>
      <c r="F528" s="2" t="s">
        <v>111</v>
      </c>
      <c r="G528" s="2" t="s">
        <v>336</v>
      </c>
      <c r="H528" s="3">
        <v>44326</v>
      </c>
      <c r="I528" s="2" t="s">
        <v>142</v>
      </c>
      <c r="J528" s="2" t="s">
        <v>92</v>
      </c>
      <c r="K528" s="4">
        <v>2021</v>
      </c>
      <c r="L528" s="4">
        <v>1.915</v>
      </c>
      <c r="M528" s="4" t="s">
        <v>73</v>
      </c>
      <c r="N528" s="4" t="s">
        <v>30</v>
      </c>
      <c r="O528" s="4">
        <v>360.02</v>
      </c>
      <c r="P528" s="4">
        <v>36.002000000000002</v>
      </c>
      <c r="Q528" s="12">
        <v>324.01799999999997</v>
      </c>
      <c r="R528" s="4" t="s">
        <v>782</v>
      </c>
      <c r="S528" s="4">
        <v>283.42</v>
      </c>
      <c r="T528" s="4">
        <v>40.597999999999999</v>
      </c>
    </row>
    <row r="529" spans="1:20" ht="15" thickBot="1" x14ac:dyDescent="0.35">
      <c r="A529" s="2" t="s">
        <v>49</v>
      </c>
      <c r="B529" s="2" t="s">
        <v>50</v>
      </c>
      <c r="C529" s="2" t="s">
        <v>69</v>
      </c>
      <c r="D529" s="2" t="s">
        <v>153</v>
      </c>
      <c r="E529" s="2" t="s">
        <v>71</v>
      </c>
      <c r="F529" s="2" t="s">
        <v>154</v>
      </c>
      <c r="G529" s="2" t="s">
        <v>336</v>
      </c>
      <c r="H529" s="3">
        <v>44368</v>
      </c>
      <c r="I529" s="2" t="s">
        <v>205</v>
      </c>
      <c r="J529" s="2" t="s">
        <v>92</v>
      </c>
      <c r="K529" s="4">
        <v>2021</v>
      </c>
      <c r="L529" s="4">
        <v>289</v>
      </c>
      <c r="M529" s="4" t="s">
        <v>73</v>
      </c>
      <c r="N529" s="4" t="s">
        <v>165</v>
      </c>
      <c r="O529" s="4">
        <v>8.67</v>
      </c>
      <c r="P529" s="4">
        <v>867</v>
      </c>
      <c r="Q529" s="12">
        <v>7.8029999999999999</v>
      </c>
      <c r="R529" s="5">
        <v>12510</v>
      </c>
      <c r="S529" s="4">
        <v>42.771999999999998</v>
      </c>
      <c r="T529" s="4">
        <v>-34.969000000000001</v>
      </c>
    </row>
    <row r="530" spans="1:20" ht="15" thickBot="1" x14ac:dyDescent="0.35">
      <c r="A530" s="2" t="s">
        <v>49</v>
      </c>
      <c r="B530" s="2" t="s">
        <v>50</v>
      </c>
      <c r="C530" s="2" t="s">
        <v>69</v>
      </c>
      <c r="D530" s="2" t="s">
        <v>153</v>
      </c>
      <c r="E530" s="2" t="s">
        <v>71</v>
      </c>
      <c r="F530" s="2" t="s">
        <v>154</v>
      </c>
      <c r="G530" s="2" t="s">
        <v>336</v>
      </c>
      <c r="H530" s="3">
        <v>44476</v>
      </c>
      <c r="I530" s="2" t="s">
        <v>115</v>
      </c>
      <c r="J530" s="2" t="s">
        <v>96</v>
      </c>
      <c r="K530" s="4">
        <v>2021</v>
      </c>
      <c r="L530" s="4">
        <v>3.198</v>
      </c>
      <c r="M530" s="4" t="s">
        <v>73</v>
      </c>
      <c r="N530" s="4" t="s">
        <v>116</v>
      </c>
      <c r="O530" s="4">
        <v>35.177999999999997</v>
      </c>
      <c r="P530" s="4">
        <v>3.5179999999999998</v>
      </c>
      <c r="Q530" s="12">
        <v>31.66</v>
      </c>
      <c r="R530" s="4" t="s">
        <v>783</v>
      </c>
      <c r="S530" s="4">
        <v>473.30399999999997</v>
      </c>
      <c r="T530" s="4">
        <v>-441.64400000000001</v>
      </c>
    </row>
    <row r="531" spans="1:20" ht="29.4" thickBot="1" x14ac:dyDescent="0.35">
      <c r="A531" s="2" t="s">
        <v>43</v>
      </c>
      <c r="B531" s="2" t="s">
        <v>59</v>
      </c>
      <c r="C531" s="2" t="s">
        <v>69</v>
      </c>
      <c r="D531" s="2" t="s">
        <v>257</v>
      </c>
      <c r="E531" s="2" t="s">
        <v>71</v>
      </c>
      <c r="F531" s="2" t="s">
        <v>258</v>
      </c>
      <c r="G531" s="2" t="s">
        <v>336</v>
      </c>
      <c r="H531" s="3">
        <v>44213</v>
      </c>
      <c r="I531" s="2" t="s">
        <v>39</v>
      </c>
      <c r="J531" s="2" t="s">
        <v>40</v>
      </c>
      <c r="K531" s="4">
        <v>2021</v>
      </c>
      <c r="L531" s="4">
        <v>1.024</v>
      </c>
      <c r="M531" s="4" t="s">
        <v>73</v>
      </c>
      <c r="N531" s="4" t="s">
        <v>47</v>
      </c>
      <c r="O531" s="4">
        <v>460.8</v>
      </c>
      <c r="P531" s="4">
        <v>46.08</v>
      </c>
      <c r="Q531" s="12">
        <v>414.72</v>
      </c>
      <c r="R531" s="4" t="s">
        <v>784</v>
      </c>
      <c r="S531" s="4">
        <v>151.55199999999999</v>
      </c>
      <c r="T531" s="4">
        <v>263.16800000000001</v>
      </c>
    </row>
    <row r="532" spans="1:20" ht="15" thickBot="1" x14ac:dyDescent="0.35">
      <c r="A532" s="2" t="s">
        <v>20</v>
      </c>
      <c r="B532" s="2" t="s">
        <v>59</v>
      </c>
      <c r="C532" s="2" t="s">
        <v>75</v>
      </c>
      <c r="D532" s="2" t="s">
        <v>534</v>
      </c>
      <c r="E532" s="2" t="s">
        <v>77</v>
      </c>
      <c r="F532" s="2" t="s">
        <v>238</v>
      </c>
      <c r="G532" s="2" t="s">
        <v>336</v>
      </c>
      <c r="H532" s="3">
        <v>44226</v>
      </c>
      <c r="I532" s="2" t="s">
        <v>39</v>
      </c>
      <c r="J532" s="2" t="s">
        <v>40</v>
      </c>
      <c r="K532" s="4">
        <v>2021</v>
      </c>
      <c r="L532" s="4">
        <v>409</v>
      </c>
      <c r="M532" s="4" t="s">
        <v>80</v>
      </c>
      <c r="N532" s="4" t="s">
        <v>30</v>
      </c>
      <c r="O532" s="4">
        <v>76.891999999999996</v>
      </c>
      <c r="P532" s="4">
        <v>7.6890000000000001</v>
      </c>
      <c r="Q532" s="12">
        <v>69.203000000000003</v>
      </c>
      <c r="R532" s="4" t="s">
        <v>785</v>
      </c>
      <c r="S532" s="4">
        <v>125.97199999999999</v>
      </c>
      <c r="T532" s="4">
        <v>-56.768999999999998</v>
      </c>
    </row>
    <row r="533" spans="1:20" ht="15" thickBot="1" x14ac:dyDescent="0.35">
      <c r="A533" s="2" t="s">
        <v>33</v>
      </c>
      <c r="B533" s="2" t="s">
        <v>59</v>
      </c>
      <c r="C533" s="2" t="s">
        <v>75</v>
      </c>
      <c r="D533" s="2" t="s">
        <v>208</v>
      </c>
      <c r="E533" s="2" t="s">
        <v>77</v>
      </c>
      <c r="F533" s="2" t="s">
        <v>209</v>
      </c>
      <c r="G533" s="2" t="s">
        <v>336</v>
      </c>
      <c r="H533" s="3">
        <v>44073</v>
      </c>
      <c r="I533" s="2" t="s">
        <v>53</v>
      </c>
      <c r="J533" s="2" t="s">
        <v>28</v>
      </c>
      <c r="K533" s="4">
        <v>2020</v>
      </c>
      <c r="L533" s="4">
        <v>769</v>
      </c>
      <c r="M533" s="4" t="s">
        <v>80</v>
      </c>
      <c r="N533" s="4" t="s">
        <v>42</v>
      </c>
      <c r="O533" s="4">
        <v>17.687000000000001</v>
      </c>
      <c r="P533" s="4">
        <v>1.7689999999999999</v>
      </c>
      <c r="Q533" s="12">
        <v>15.917999999999999</v>
      </c>
      <c r="R533" s="5">
        <v>23955</v>
      </c>
      <c r="S533" s="4">
        <v>236.852</v>
      </c>
      <c r="T533" s="4">
        <v>-220.934</v>
      </c>
    </row>
    <row r="534" spans="1:20" ht="15" thickBot="1" x14ac:dyDescent="0.35">
      <c r="A534" s="2" t="s">
        <v>49</v>
      </c>
      <c r="B534" s="2" t="s">
        <v>21</v>
      </c>
      <c r="C534" s="2" t="s">
        <v>75</v>
      </c>
      <c r="D534" s="2" t="s">
        <v>168</v>
      </c>
      <c r="E534" s="2" t="s">
        <v>77</v>
      </c>
      <c r="F534" s="2" t="s">
        <v>169</v>
      </c>
      <c r="G534" s="2" t="s">
        <v>336</v>
      </c>
      <c r="H534" s="3">
        <v>44078</v>
      </c>
      <c r="I534" s="2" t="s">
        <v>27</v>
      </c>
      <c r="J534" s="2" t="s">
        <v>28</v>
      </c>
      <c r="K534" s="4">
        <v>2020</v>
      </c>
      <c r="L534" s="4">
        <v>3.3679999999999999</v>
      </c>
      <c r="M534" s="4" t="s">
        <v>80</v>
      </c>
      <c r="N534" s="4" t="s">
        <v>54</v>
      </c>
      <c r="O534" s="4" t="s">
        <v>786</v>
      </c>
      <c r="P534" s="4">
        <v>176.82</v>
      </c>
      <c r="Q534" s="12" t="s">
        <v>787</v>
      </c>
      <c r="R534" s="4" t="s">
        <v>788</v>
      </c>
      <c r="S534" s="4" t="s">
        <v>789</v>
      </c>
      <c r="T534" s="4">
        <v>554.03599999999994</v>
      </c>
    </row>
    <row r="535" spans="1:20" ht="29.4" thickBot="1" x14ac:dyDescent="0.35">
      <c r="A535" s="2" t="s">
        <v>43</v>
      </c>
      <c r="B535" s="2" t="s">
        <v>21</v>
      </c>
      <c r="C535" s="2" t="s">
        <v>75</v>
      </c>
      <c r="D535" s="2" t="s">
        <v>118</v>
      </c>
      <c r="E535" s="2" t="s">
        <v>77</v>
      </c>
      <c r="F535" s="2" t="s">
        <v>119</v>
      </c>
      <c r="G535" s="2" t="s">
        <v>336</v>
      </c>
      <c r="H535" s="3">
        <v>44216</v>
      </c>
      <c r="I535" s="2" t="s">
        <v>39</v>
      </c>
      <c r="J535" s="2" t="s">
        <v>40</v>
      </c>
      <c r="K535" s="4">
        <v>2021</v>
      </c>
      <c r="L535" s="4">
        <v>518</v>
      </c>
      <c r="M535" s="4" t="s">
        <v>80</v>
      </c>
      <c r="N535" s="4" t="s">
        <v>47</v>
      </c>
      <c r="O535" s="4">
        <v>233.1</v>
      </c>
      <c r="P535" s="4">
        <v>23.31</v>
      </c>
      <c r="Q535" s="12">
        <v>209.79</v>
      </c>
      <c r="R535" s="4" t="s">
        <v>790</v>
      </c>
      <c r="S535" s="4">
        <v>159.54400000000001</v>
      </c>
      <c r="T535" s="4">
        <v>50.246000000000002</v>
      </c>
    </row>
    <row r="536" spans="1:20" ht="15" thickBot="1" x14ac:dyDescent="0.35">
      <c r="A536" s="2" t="s">
        <v>20</v>
      </c>
      <c r="B536" s="2" t="s">
        <v>21</v>
      </c>
      <c r="C536" s="2" t="s">
        <v>75</v>
      </c>
      <c r="D536" s="2" t="s">
        <v>427</v>
      </c>
      <c r="E536" s="2" t="s">
        <v>77</v>
      </c>
      <c r="F536" s="2" t="s">
        <v>190</v>
      </c>
      <c r="G536" s="2" t="s">
        <v>336</v>
      </c>
      <c r="H536" s="3">
        <v>44061</v>
      </c>
      <c r="I536" s="2" t="s">
        <v>53</v>
      </c>
      <c r="J536" s="2" t="s">
        <v>28</v>
      </c>
      <c r="K536" s="4">
        <v>2020</v>
      </c>
      <c r="L536" s="4">
        <v>3.0350000000000001</v>
      </c>
      <c r="M536" s="4" t="s">
        <v>80</v>
      </c>
      <c r="N536" s="4" t="s">
        <v>30</v>
      </c>
      <c r="O536" s="4">
        <v>570.58000000000004</v>
      </c>
      <c r="P536" s="4">
        <v>57.058</v>
      </c>
      <c r="Q536" s="12">
        <v>513.52200000000005</v>
      </c>
      <c r="R536" s="4" t="s">
        <v>791</v>
      </c>
      <c r="S536" s="4">
        <v>934.78</v>
      </c>
      <c r="T536" s="4">
        <v>-421.25799999999998</v>
      </c>
    </row>
    <row r="537" spans="1:20" ht="15" thickBot="1" x14ac:dyDescent="0.35">
      <c r="A537" s="2" t="s">
        <v>20</v>
      </c>
      <c r="B537" s="2" t="s">
        <v>50</v>
      </c>
      <c r="C537" s="2" t="s">
        <v>120</v>
      </c>
      <c r="D537" s="2" t="s">
        <v>792</v>
      </c>
      <c r="E537" s="2" t="s">
        <v>122</v>
      </c>
      <c r="F537" s="2" t="s">
        <v>313</v>
      </c>
      <c r="G537" s="2" t="s">
        <v>336</v>
      </c>
      <c r="H537" s="3">
        <v>44538</v>
      </c>
      <c r="I537" s="2" t="s">
        <v>100</v>
      </c>
      <c r="J537" s="2" t="s">
        <v>96</v>
      </c>
      <c r="K537" s="4">
        <v>2021</v>
      </c>
      <c r="L537" s="4">
        <v>695</v>
      </c>
      <c r="M537" s="4" t="s">
        <v>124</v>
      </c>
      <c r="N537" s="4" t="s">
        <v>30</v>
      </c>
      <c r="O537" s="4">
        <v>130.66</v>
      </c>
      <c r="P537" s="4">
        <v>13.066000000000001</v>
      </c>
      <c r="Q537" s="12">
        <v>117.59399999999999</v>
      </c>
      <c r="R537" s="4" t="s">
        <v>793</v>
      </c>
      <c r="S537" s="4">
        <v>222.4</v>
      </c>
      <c r="T537" s="4">
        <v>-104.806</v>
      </c>
    </row>
    <row r="538" spans="1:20" ht="15" thickBot="1" x14ac:dyDescent="0.35">
      <c r="A538" s="2" t="s">
        <v>49</v>
      </c>
      <c r="B538" s="2" t="s">
        <v>68</v>
      </c>
      <c r="C538" s="2" t="s">
        <v>120</v>
      </c>
      <c r="D538" s="2" t="s">
        <v>212</v>
      </c>
      <c r="E538" s="2" t="s">
        <v>122</v>
      </c>
      <c r="F538" s="2" t="s">
        <v>213</v>
      </c>
      <c r="G538" s="2" t="s">
        <v>336</v>
      </c>
      <c r="H538" s="3">
        <v>44513</v>
      </c>
      <c r="I538" s="2" t="s">
        <v>95</v>
      </c>
      <c r="J538" s="2" t="s">
        <v>96</v>
      </c>
      <c r="K538" s="4">
        <v>2021</v>
      </c>
      <c r="L538" s="4">
        <v>2.6880000000000002</v>
      </c>
      <c r="M538" s="4" t="s">
        <v>124</v>
      </c>
      <c r="N538" s="4" t="s">
        <v>54</v>
      </c>
      <c r="O538" s="4" t="s">
        <v>794</v>
      </c>
      <c r="P538" s="4">
        <v>141.12</v>
      </c>
      <c r="Q538" s="12" t="s">
        <v>795</v>
      </c>
      <c r="R538" s="4" t="s">
        <v>796</v>
      </c>
      <c r="S538" s="4">
        <v>860.16</v>
      </c>
      <c r="T538" s="4">
        <v>409.92</v>
      </c>
    </row>
    <row r="539" spans="1:20" ht="29.4" thickBot="1" x14ac:dyDescent="0.35">
      <c r="A539" s="2" t="s">
        <v>43</v>
      </c>
      <c r="B539" s="2" t="s">
        <v>74</v>
      </c>
      <c r="C539" s="2" t="s">
        <v>120</v>
      </c>
      <c r="D539" s="2" t="s">
        <v>699</v>
      </c>
      <c r="E539" s="2" t="s">
        <v>122</v>
      </c>
      <c r="F539" s="2" t="s">
        <v>294</v>
      </c>
      <c r="G539" s="2" t="s">
        <v>336</v>
      </c>
      <c r="H539" s="3">
        <v>44417</v>
      </c>
      <c r="I539" s="2" t="s">
        <v>53</v>
      </c>
      <c r="J539" s="2" t="s">
        <v>28</v>
      </c>
      <c r="K539" s="4">
        <v>2021</v>
      </c>
      <c r="L539" s="4">
        <v>3.5920000000000001</v>
      </c>
      <c r="M539" s="4" t="s">
        <v>124</v>
      </c>
      <c r="N539" s="4" t="s">
        <v>47</v>
      </c>
      <c r="O539" s="4" t="s">
        <v>797</v>
      </c>
      <c r="P539" s="4">
        <v>161.63999999999999</v>
      </c>
      <c r="Q539" s="12" t="s">
        <v>798</v>
      </c>
      <c r="R539" s="4" t="s">
        <v>799</v>
      </c>
      <c r="S539" s="4" t="s">
        <v>800</v>
      </c>
      <c r="T539" s="4">
        <v>305.32</v>
      </c>
    </row>
    <row r="540" spans="1:20" ht="29.4" thickBot="1" x14ac:dyDescent="0.35">
      <c r="A540" s="2" t="s">
        <v>58</v>
      </c>
      <c r="B540" s="2" t="s">
        <v>68</v>
      </c>
      <c r="C540" s="2" t="s">
        <v>120</v>
      </c>
      <c r="D540" s="2" t="s">
        <v>377</v>
      </c>
      <c r="E540" s="2" t="s">
        <v>122</v>
      </c>
      <c r="F540" s="2" t="s">
        <v>378</v>
      </c>
      <c r="G540" s="2" t="s">
        <v>336</v>
      </c>
      <c r="H540" s="3">
        <v>44161</v>
      </c>
      <c r="I540" s="2" t="s">
        <v>95</v>
      </c>
      <c r="J540" s="2" t="s">
        <v>96</v>
      </c>
      <c r="K540" s="4">
        <v>2020</v>
      </c>
      <c r="L540" s="4">
        <v>4.2249999999999996</v>
      </c>
      <c r="M540" s="4" t="s">
        <v>124</v>
      </c>
      <c r="N540" s="4" t="s">
        <v>63</v>
      </c>
      <c r="O540" s="4">
        <v>76.05</v>
      </c>
      <c r="P540" s="4">
        <v>7.6050000000000004</v>
      </c>
      <c r="Q540" s="12">
        <v>68.444999999999993</v>
      </c>
      <c r="R540" s="4" t="s">
        <v>801</v>
      </c>
      <c r="S540" s="4" t="s">
        <v>802</v>
      </c>
      <c r="T540" s="4" t="s">
        <v>803</v>
      </c>
    </row>
    <row r="541" spans="1:20" ht="15" thickBot="1" x14ac:dyDescent="0.35">
      <c r="A541" s="2" t="s">
        <v>49</v>
      </c>
      <c r="B541" s="2" t="s">
        <v>59</v>
      </c>
      <c r="C541" s="2" t="s">
        <v>120</v>
      </c>
      <c r="D541" s="2" t="s">
        <v>369</v>
      </c>
      <c r="E541" s="2" t="s">
        <v>122</v>
      </c>
      <c r="F541" s="2" t="s">
        <v>249</v>
      </c>
      <c r="G541" s="2" t="s">
        <v>336</v>
      </c>
      <c r="H541" s="3">
        <v>43939</v>
      </c>
      <c r="I541" s="2" t="s">
        <v>91</v>
      </c>
      <c r="J541" s="2" t="s">
        <v>92</v>
      </c>
      <c r="K541" s="4">
        <v>2020</v>
      </c>
      <c r="L541" s="4">
        <v>2.4470000000000001</v>
      </c>
      <c r="M541" s="4" t="s">
        <v>124</v>
      </c>
      <c r="N541" s="4" t="s">
        <v>165</v>
      </c>
      <c r="O541" s="4">
        <v>73.41</v>
      </c>
      <c r="P541" s="4">
        <v>7.3410000000000002</v>
      </c>
      <c r="Q541" s="12">
        <v>66.069000000000003</v>
      </c>
      <c r="R541" s="4" t="s">
        <v>804</v>
      </c>
      <c r="S541" s="4">
        <v>783.04</v>
      </c>
      <c r="T541" s="4">
        <v>-716.971</v>
      </c>
    </row>
    <row r="542" spans="1:20" ht="29.4" thickBot="1" x14ac:dyDescent="0.35">
      <c r="A542" s="2" t="s">
        <v>58</v>
      </c>
      <c r="B542" s="2" t="s">
        <v>34</v>
      </c>
      <c r="C542" s="2" t="s">
        <v>120</v>
      </c>
      <c r="D542" s="2" t="s">
        <v>389</v>
      </c>
      <c r="E542" s="2" t="s">
        <v>122</v>
      </c>
      <c r="F542" s="2" t="s">
        <v>301</v>
      </c>
      <c r="G542" s="2" t="s">
        <v>336</v>
      </c>
      <c r="H542" s="3">
        <v>44318</v>
      </c>
      <c r="I542" s="2" t="s">
        <v>142</v>
      </c>
      <c r="J542" s="2" t="s">
        <v>92</v>
      </c>
      <c r="K542" s="4">
        <v>2021</v>
      </c>
      <c r="L542" s="4">
        <v>3.089</v>
      </c>
      <c r="M542" s="4" t="s">
        <v>124</v>
      </c>
      <c r="N542" s="4" t="s">
        <v>63</v>
      </c>
      <c r="O542" s="4">
        <v>55.601999999999997</v>
      </c>
      <c r="P542" s="4">
        <v>5.56</v>
      </c>
      <c r="Q542" s="12">
        <v>50.042000000000002</v>
      </c>
      <c r="R542" s="4" t="s">
        <v>805</v>
      </c>
      <c r="S542" s="4">
        <v>988.48</v>
      </c>
      <c r="T542" s="4">
        <v>-938.43799999999999</v>
      </c>
    </row>
    <row r="543" spans="1:20" ht="15" thickBot="1" x14ac:dyDescent="0.35">
      <c r="A543" s="2" t="s">
        <v>49</v>
      </c>
      <c r="B543" s="2" t="s">
        <v>68</v>
      </c>
      <c r="C543" s="2" t="s">
        <v>120</v>
      </c>
      <c r="D543" s="2" t="s">
        <v>212</v>
      </c>
      <c r="E543" s="2" t="s">
        <v>122</v>
      </c>
      <c r="F543" s="2" t="s">
        <v>213</v>
      </c>
      <c r="G543" s="2" t="s">
        <v>336</v>
      </c>
      <c r="H543" s="3">
        <v>44212</v>
      </c>
      <c r="I543" s="2" t="s">
        <v>39</v>
      </c>
      <c r="J543" s="2" t="s">
        <v>40</v>
      </c>
      <c r="K543" s="4">
        <v>2021</v>
      </c>
      <c r="L543" s="4">
        <v>848</v>
      </c>
      <c r="M543" s="4" t="s">
        <v>124</v>
      </c>
      <c r="N543" s="4" t="s">
        <v>54</v>
      </c>
      <c r="O543" s="4">
        <v>445.2</v>
      </c>
      <c r="P543" s="4">
        <v>44.52</v>
      </c>
      <c r="Q543" s="12">
        <v>400.68</v>
      </c>
      <c r="R543" s="4" t="s">
        <v>806</v>
      </c>
      <c r="S543" s="4">
        <v>271.36</v>
      </c>
      <c r="T543" s="4">
        <v>129.32</v>
      </c>
    </row>
    <row r="544" spans="1:20" ht="15" thickBot="1" x14ac:dyDescent="0.35">
      <c r="A544" s="2" t="s">
        <v>33</v>
      </c>
      <c r="B544" s="2" t="s">
        <v>44</v>
      </c>
      <c r="C544" s="2" t="s">
        <v>120</v>
      </c>
      <c r="D544" s="2" t="s">
        <v>126</v>
      </c>
      <c r="E544" s="2" t="s">
        <v>122</v>
      </c>
      <c r="F544" s="2" t="s">
        <v>127</v>
      </c>
      <c r="G544" s="2" t="s">
        <v>336</v>
      </c>
      <c r="H544" s="3">
        <v>44159</v>
      </c>
      <c r="I544" s="2" t="s">
        <v>95</v>
      </c>
      <c r="J544" s="2" t="s">
        <v>96</v>
      </c>
      <c r="K544" s="4">
        <v>2020</v>
      </c>
      <c r="L544" s="4">
        <v>2.4860000000000002</v>
      </c>
      <c r="M544" s="4" t="s">
        <v>124</v>
      </c>
      <c r="N544" s="4" t="s">
        <v>42</v>
      </c>
      <c r="O544" s="4">
        <v>57.177999999999997</v>
      </c>
      <c r="P544" s="4">
        <v>5.718</v>
      </c>
      <c r="Q544" s="12">
        <v>51.46</v>
      </c>
      <c r="R544" s="4" t="s">
        <v>724</v>
      </c>
      <c r="S544" s="4">
        <v>795.52</v>
      </c>
      <c r="T544" s="4">
        <v>-744.06</v>
      </c>
    </row>
    <row r="545" spans="1:20" ht="29.4" thickBot="1" x14ac:dyDescent="0.35">
      <c r="A545" s="2" t="s">
        <v>43</v>
      </c>
      <c r="B545" s="2" t="s">
        <v>59</v>
      </c>
      <c r="C545" s="2" t="s">
        <v>120</v>
      </c>
      <c r="D545" s="2" t="s">
        <v>807</v>
      </c>
      <c r="E545" s="2" t="s">
        <v>122</v>
      </c>
      <c r="F545" s="2" t="s">
        <v>238</v>
      </c>
      <c r="G545" s="2" t="s">
        <v>336</v>
      </c>
      <c r="H545" s="3">
        <v>44541</v>
      </c>
      <c r="I545" s="2" t="s">
        <v>100</v>
      </c>
      <c r="J545" s="2" t="s">
        <v>96</v>
      </c>
      <c r="K545" s="4">
        <v>2021</v>
      </c>
      <c r="L545" s="4">
        <v>1.024</v>
      </c>
      <c r="M545" s="4" t="s">
        <v>124</v>
      </c>
      <c r="N545" s="4" t="s">
        <v>47</v>
      </c>
      <c r="O545" s="4">
        <v>460.8</v>
      </c>
      <c r="P545" s="4">
        <v>46.08</v>
      </c>
      <c r="Q545" s="12">
        <v>414.72</v>
      </c>
      <c r="R545" s="4" t="s">
        <v>784</v>
      </c>
      <c r="S545" s="4">
        <v>327.68</v>
      </c>
      <c r="T545" s="4">
        <v>87.04</v>
      </c>
    </row>
    <row r="546" spans="1:20" ht="15" thickBot="1" x14ac:dyDescent="0.35">
      <c r="A546" s="2" t="s">
        <v>49</v>
      </c>
      <c r="B546" s="2" t="s">
        <v>50</v>
      </c>
      <c r="C546" s="2" t="s">
        <v>35</v>
      </c>
      <c r="D546" s="2" t="s">
        <v>233</v>
      </c>
      <c r="E546" s="2" t="s">
        <v>37</v>
      </c>
      <c r="F546" s="2" t="s">
        <v>234</v>
      </c>
      <c r="G546" s="2" t="s">
        <v>336</v>
      </c>
      <c r="H546" s="3">
        <v>44455</v>
      </c>
      <c r="I546" s="2" t="s">
        <v>27</v>
      </c>
      <c r="J546" s="2" t="s">
        <v>28</v>
      </c>
      <c r="K546" s="4">
        <v>2021</v>
      </c>
      <c r="L546" s="4">
        <v>3.0379999999999998</v>
      </c>
      <c r="M546" s="4" t="s">
        <v>41</v>
      </c>
      <c r="N546" s="4" t="s">
        <v>116</v>
      </c>
      <c r="O546" s="4">
        <v>33.417999999999999</v>
      </c>
      <c r="P546" s="4">
        <v>3.6760000000000002</v>
      </c>
      <c r="Q546" s="12">
        <v>29.742000000000001</v>
      </c>
      <c r="R546" s="4" t="s">
        <v>808</v>
      </c>
      <c r="S546" s="4">
        <v>36.456000000000003</v>
      </c>
      <c r="T546" s="4">
        <v>-6.7140000000000004</v>
      </c>
    </row>
    <row r="547" spans="1:20" ht="15" thickBot="1" x14ac:dyDescent="0.35">
      <c r="A547" s="2" t="s">
        <v>33</v>
      </c>
      <c r="B547" s="2" t="s">
        <v>50</v>
      </c>
      <c r="C547" s="2" t="s">
        <v>69</v>
      </c>
      <c r="D547" s="2" t="s">
        <v>662</v>
      </c>
      <c r="E547" s="2" t="s">
        <v>71</v>
      </c>
      <c r="F547" s="2" t="s">
        <v>367</v>
      </c>
      <c r="G547" s="2" t="s">
        <v>336</v>
      </c>
      <c r="H547" s="3">
        <v>43990</v>
      </c>
      <c r="I547" s="2" t="s">
        <v>205</v>
      </c>
      <c r="J547" s="2" t="s">
        <v>92</v>
      </c>
      <c r="K547" s="4">
        <v>2020</v>
      </c>
      <c r="L547" s="4">
        <v>461</v>
      </c>
      <c r="M547" s="4" t="s">
        <v>73</v>
      </c>
      <c r="N547" s="4" t="s">
        <v>42</v>
      </c>
      <c r="O547" s="4">
        <v>10.603</v>
      </c>
      <c r="P547" s="4">
        <v>1.1659999999999999</v>
      </c>
      <c r="Q547" s="12">
        <v>9.4369999999999994</v>
      </c>
      <c r="R547" s="5">
        <v>41395</v>
      </c>
      <c r="S547" s="4">
        <v>68.227999999999994</v>
      </c>
      <c r="T547" s="4">
        <v>-58.790999999999997</v>
      </c>
    </row>
    <row r="548" spans="1:20" ht="29.4" thickBot="1" x14ac:dyDescent="0.35">
      <c r="A548" s="2" t="s">
        <v>58</v>
      </c>
      <c r="B548" s="2" t="s">
        <v>34</v>
      </c>
      <c r="C548" s="2" t="s">
        <v>69</v>
      </c>
      <c r="D548" s="2" t="s">
        <v>457</v>
      </c>
      <c r="E548" s="2" t="s">
        <v>71</v>
      </c>
      <c r="F548" s="2" t="s">
        <v>356</v>
      </c>
      <c r="G548" s="2" t="s">
        <v>336</v>
      </c>
      <c r="H548" s="3">
        <v>44163</v>
      </c>
      <c r="I548" s="2" t="s">
        <v>95</v>
      </c>
      <c r="J548" s="2" t="s">
        <v>96</v>
      </c>
      <c r="K548" s="4">
        <v>2020</v>
      </c>
      <c r="L548" s="4">
        <v>566</v>
      </c>
      <c r="M548" s="4" t="s">
        <v>73</v>
      </c>
      <c r="N548" s="4" t="s">
        <v>63</v>
      </c>
      <c r="O548" s="4">
        <v>10.188000000000001</v>
      </c>
      <c r="P548" s="4">
        <v>1.121</v>
      </c>
      <c r="Q548" s="12">
        <v>9.0670000000000002</v>
      </c>
      <c r="R548" s="6">
        <v>45752</v>
      </c>
      <c r="S548" s="4">
        <v>83.768000000000001</v>
      </c>
      <c r="T548" s="4">
        <v>-74.700999999999993</v>
      </c>
    </row>
    <row r="549" spans="1:20" ht="15" thickBot="1" x14ac:dyDescent="0.35">
      <c r="A549" s="2" t="s">
        <v>49</v>
      </c>
      <c r="B549" s="2" t="s">
        <v>21</v>
      </c>
      <c r="C549" s="2" t="s">
        <v>75</v>
      </c>
      <c r="D549" s="2" t="s">
        <v>168</v>
      </c>
      <c r="E549" s="2" t="s">
        <v>77</v>
      </c>
      <c r="F549" s="2" t="s">
        <v>169</v>
      </c>
      <c r="G549" s="2" t="s">
        <v>336</v>
      </c>
      <c r="H549" s="3">
        <v>44233</v>
      </c>
      <c r="I549" s="2" t="s">
        <v>79</v>
      </c>
      <c r="J549" s="2" t="s">
        <v>40</v>
      </c>
      <c r="K549" s="4">
        <v>2021</v>
      </c>
      <c r="L549" s="4">
        <v>1.895</v>
      </c>
      <c r="M549" s="4" t="s">
        <v>80</v>
      </c>
      <c r="N549" s="4" t="s">
        <v>116</v>
      </c>
      <c r="O549" s="4">
        <v>20.844999999999999</v>
      </c>
      <c r="P549" s="4">
        <v>2.2930000000000001</v>
      </c>
      <c r="Q549" s="12">
        <v>18.552</v>
      </c>
      <c r="R549" s="5">
        <v>30926</v>
      </c>
      <c r="S549" s="4">
        <v>583.66</v>
      </c>
      <c r="T549" s="4">
        <v>-565.10799999999995</v>
      </c>
    </row>
    <row r="550" spans="1:20" ht="15" thickBot="1" x14ac:dyDescent="0.35">
      <c r="A550" s="2" t="s">
        <v>33</v>
      </c>
      <c r="B550" s="2" t="s">
        <v>64</v>
      </c>
      <c r="C550" s="2" t="s">
        <v>120</v>
      </c>
      <c r="D550" s="2" t="s">
        <v>210</v>
      </c>
      <c r="E550" s="2" t="s">
        <v>122</v>
      </c>
      <c r="F550" s="2" t="s">
        <v>211</v>
      </c>
      <c r="G550" s="2" t="s">
        <v>336</v>
      </c>
      <c r="H550" s="3">
        <v>43936</v>
      </c>
      <c r="I550" s="2" t="s">
        <v>91</v>
      </c>
      <c r="J550" s="2" t="s">
        <v>92</v>
      </c>
      <c r="K550" s="4">
        <v>2020</v>
      </c>
      <c r="L550" s="4">
        <v>3.839</v>
      </c>
      <c r="M550" s="4" t="s">
        <v>124</v>
      </c>
      <c r="N550" s="4" t="s">
        <v>42</v>
      </c>
      <c r="O550" s="4">
        <v>88.296999999999997</v>
      </c>
      <c r="P550" s="4">
        <v>9.7129999999999992</v>
      </c>
      <c r="Q550" s="12">
        <v>78.584000000000003</v>
      </c>
      <c r="R550" s="4" t="s">
        <v>809</v>
      </c>
      <c r="S550" s="4" t="s">
        <v>810</v>
      </c>
      <c r="T550" s="4" t="s">
        <v>811</v>
      </c>
    </row>
    <row r="551" spans="1:20" ht="29.4" thickBot="1" x14ac:dyDescent="0.35">
      <c r="A551" s="2" t="s">
        <v>58</v>
      </c>
      <c r="B551" s="2" t="s">
        <v>34</v>
      </c>
      <c r="C551" s="2" t="s">
        <v>120</v>
      </c>
      <c r="D551" s="2" t="s">
        <v>389</v>
      </c>
      <c r="E551" s="2" t="s">
        <v>122</v>
      </c>
      <c r="F551" s="2" t="s">
        <v>301</v>
      </c>
      <c r="G551" s="2" t="s">
        <v>336</v>
      </c>
      <c r="H551" s="3">
        <v>44117</v>
      </c>
      <c r="I551" s="2" t="s">
        <v>115</v>
      </c>
      <c r="J551" s="2" t="s">
        <v>96</v>
      </c>
      <c r="K551" s="4">
        <v>2020</v>
      </c>
      <c r="L551" s="4">
        <v>566</v>
      </c>
      <c r="M551" s="4" t="s">
        <v>124</v>
      </c>
      <c r="N551" s="4" t="s">
        <v>63</v>
      </c>
      <c r="O551" s="4">
        <v>10.188000000000001</v>
      </c>
      <c r="P551" s="4">
        <v>1.121</v>
      </c>
      <c r="Q551" s="12">
        <v>9.0670000000000002</v>
      </c>
      <c r="R551" s="6">
        <v>45752</v>
      </c>
      <c r="S551" s="4">
        <v>181.12</v>
      </c>
      <c r="T551" s="4">
        <v>-172.053</v>
      </c>
    </row>
    <row r="552" spans="1:20" ht="29.4" thickBot="1" x14ac:dyDescent="0.35">
      <c r="A552" s="2" t="s">
        <v>58</v>
      </c>
      <c r="B552" s="2" t="s">
        <v>50</v>
      </c>
      <c r="C552" s="2" t="s">
        <v>82</v>
      </c>
      <c r="D552" s="2" t="s">
        <v>179</v>
      </c>
      <c r="E552" s="2" t="s">
        <v>84</v>
      </c>
      <c r="F552" s="2" t="s">
        <v>180</v>
      </c>
      <c r="G552" s="2" t="s">
        <v>336</v>
      </c>
      <c r="H552" s="3">
        <v>44108</v>
      </c>
      <c r="I552" s="2" t="s">
        <v>115</v>
      </c>
      <c r="J552" s="2" t="s">
        <v>96</v>
      </c>
      <c r="K552" s="4">
        <v>2020</v>
      </c>
      <c r="L552" s="4">
        <v>2.3239999999999998</v>
      </c>
      <c r="M552" s="4" t="s">
        <v>87</v>
      </c>
      <c r="N552" s="4" t="s">
        <v>63</v>
      </c>
      <c r="O552" s="4">
        <v>41.832000000000001</v>
      </c>
      <c r="P552" s="4">
        <v>4.6020000000000003</v>
      </c>
      <c r="Q552" s="12">
        <v>37.229999999999997</v>
      </c>
      <c r="R552" s="4" t="s">
        <v>812</v>
      </c>
      <c r="S552" s="4">
        <v>9.2959999999999994</v>
      </c>
      <c r="T552" s="4">
        <v>27.934000000000001</v>
      </c>
    </row>
    <row r="553" spans="1:20" ht="15" thickBot="1" x14ac:dyDescent="0.35">
      <c r="A553" s="2" t="s">
        <v>49</v>
      </c>
      <c r="B553" s="2" t="s">
        <v>74</v>
      </c>
      <c r="C553" s="2" t="s">
        <v>82</v>
      </c>
      <c r="D553" s="2" t="s">
        <v>219</v>
      </c>
      <c r="E553" s="2" t="s">
        <v>84</v>
      </c>
      <c r="F553" s="2" t="s">
        <v>220</v>
      </c>
      <c r="G553" s="2" t="s">
        <v>336</v>
      </c>
      <c r="H553" s="3">
        <v>43974</v>
      </c>
      <c r="I553" s="2" t="s">
        <v>142</v>
      </c>
      <c r="J553" s="2" t="s">
        <v>92</v>
      </c>
      <c r="K553" s="4">
        <v>2020</v>
      </c>
      <c r="L553" s="4">
        <v>950</v>
      </c>
      <c r="M553" s="4" t="s">
        <v>87</v>
      </c>
      <c r="N553" s="4" t="s">
        <v>54</v>
      </c>
      <c r="O553" s="4">
        <v>498.75</v>
      </c>
      <c r="P553" s="4">
        <v>54.863</v>
      </c>
      <c r="Q553" s="12">
        <v>443.88799999999998</v>
      </c>
      <c r="R553" s="4" t="s">
        <v>813</v>
      </c>
      <c r="S553" s="4">
        <v>3.8</v>
      </c>
      <c r="T553" s="4">
        <v>440.08800000000002</v>
      </c>
    </row>
    <row r="554" spans="1:20" ht="29.4" thickBot="1" x14ac:dyDescent="0.35">
      <c r="A554" s="2" t="s">
        <v>43</v>
      </c>
      <c r="B554" s="2" t="s">
        <v>50</v>
      </c>
      <c r="C554" s="2" t="s">
        <v>82</v>
      </c>
      <c r="D554" s="2" t="s">
        <v>128</v>
      </c>
      <c r="E554" s="2" t="s">
        <v>84</v>
      </c>
      <c r="F554" s="2" t="s">
        <v>129</v>
      </c>
      <c r="G554" s="2" t="s">
        <v>336</v>
      </c>
      <c r="H554" s="3">
        <v>44439</v>
      </c>
      <c r="I554" s="2" t="s">
        <v>53</v>
      </c>
      <c r="J554" s="2" t="s">
        <v>28</v>
      </c>
      <c r="K554" s="4">
        <v>2021</v>
      </c>
      <c r="L554" s="4">
        <v>3.3730000000000002</v>
      </c>
      <c r="M554" s="4" t="s">
        <v>87</v>
      </c>
      <c r="N554" s="4" t="s">
        <v>47</v>
      </c>
      <c r="O554" s="4" t="s">
        <v>814</v>
      </c>
      <c r="P554" s="4">
        <v>166.964</v>
      </c>
      <c r="Q554" s="12" t="s">
        <v>815</v>
      </c>
      <c r="R554" s="4" t="s">
        <v>816</v>
      </c>
      <c r="S554" s="4">
        <v>13.492000000000001</v>
      </c>
      <c r="T554" s="4" t="s">
        <v>817</v>
      </c>
    </row>
    <row r="555" spans="1:20" ht="15" thickBot="1" x14ac:dyDescent="0.35">
      <c r="A555" s="2" t="s">
        <v>20</v>
      </c>
      <c r="B555" s="2" t="s">
        <v>59</v>
      </c>
      <c r="C555" s="2" t="s">
        <v>82</v>
      </c>
      <c r="D555" s="2" t="s">
        <v>337</v>
      </c>
      <c r="E555" s="2" t="s">
        <v>84</v>
      </c>
      <c r="F555" s="2" t="s">
        <v>338</v>
      </c>
      <c r="G555" s="2" t="s">
        <v>336</v>
      </c>
      <c r="H555" s="3">
        <v>44291</v>
      </c>
      <c r="I555" s="2" t="s">
        <v>91</v>
      </c>
      <c r="J555" s="2" t="s">
        <v>92</v>
      </c>
      <c r="K555" s="4">
        <v>2021</v>
      </c>
      <c r="L555" s="4">
        <v>2.9289999999999998</v>
      </c>
      <c r="M555" s="4" t="s">
        <v>87</v>
      </c>
      <c r="N555" s="4" t="s">
        <v>30</v>
      </c>
      <c r="O555" s="4">
        <v>550.65200000000004</v>
      </c>
      <c r="P555" s="4">
        <v>60.572000000000003</v>
      </c>
      <c r="Q555" s="12">
        <v>490.08</v>
      </c>
      <c r="R555" s="4" t="s">
        <v>818</v>
      </c>
      <c r="S555" s="4">
        <v>11.715999999999999</v>
      </c>
      <c r="T555" s="4">
        <v>478.36399999999998</v>
      </c>
    </row>
    <row r="556" spans="1:20" ht="15" thickBot="1" x14ac:dyDescent="0.35">
      <c r="A556" s="2" t="s">
        <v>49</v>
      </c>
      <c r="B556" s="2" t="s">
        <v>59</v>
      </c>
      <c r="C556" s="2" t="s">
        <v>22</v>
      </c>
      <c r="D556" s="2" t="s">
        <v>181</v>
      </c>
      <c r="E556" s="2" t="s">
        <v>24</v>
      </c>
      <c r="F556" s="2" t="s">
        <v>182</v>
      </c>
      <c r="G556" s="2" t="s">
        <v>336</v>
      </c>
      <c r="H556" s="3">
        <v>44300</v>
      </c>
      <c r="I556" s="2" t="s">
        <v>91</v>
      </c>
      <c r="J556" s="2" t="s">
        <v>92</v>
      </c>
      <c r="K556" s="4">
        <v>2021</v>
      </c>
      <c r="L556" s="4">
        <v>919</v>
      </c>
      <c r="M556" s="4" t="s">
        <v>29</v>
      </c>
      <c r="N556" s="4" t="s">
        <v>54</v>
      </c>
      <c r="O556" s="4">
        <v>482.47500000000002</v>
      </c>
      <c r="P556" s="4">
        <v>53.072000000000003</v>
      </c>
      <c r="Q556" s="12">
        <v>429.40300000000002</v>
      </c>
      <c r="R556" s="4" t="s">
        <v>819</v>
      </c>
      <c r="S556" s="4">
        <v>5.5140000000000002</v>
      </c>
      <c r="T556" s="4">
        <v>423.88900000000001</v>
      </c>
    </row>
    <row r="557" spans="1:20" ht="15" thickBot="1" x14ac:dyDescent="0.35">
      <c r="A557" s="2" t="s">
        <v>33</v>
      </c>
      <c r="B557" s="2" t="s">
        <v>74</v>
      </c>
      <c r="C557" s="2" t="s">
        <v>22</v>
      </c>
      <c r="D557" s="2" t="s">
        <v>447</v>
      </c>
      <c r="E557" s="2" t="s">
        <v>24</v>
      </c>
      <c r="F557" s="2" t="s">
        <v>352</v>
      </c>
      <c r="G557" s="2" t="s">
        <v>336</v>
      </c>
      <c r="H557" s="3">
        <v>44438</v>
      </c>
      <c r="I557" s="2" t="s">
        <v>53</v>
      </c>
      <c r="J557" s="2" t="s">
        <v>28</v>
      </c>
      <c r="K557" s="4">
        <v>2021</v>
      </c>
      <c r="L557" s="4">
        <v>2.5880000000000001</v>
      </c>
      <c r="M557" s="4" t="s">
        <v>29</v>
      </c>
      <c r="N557" s="4" t="s">
        <v>42</v>
      </c>
      <c r="O557" s="4">
        <v>59.524000000000001</v>
      </c>
      <c r="P557" s="4">
        <v>6.548</v>
      </c>
      <c r="Q557" s="12">
        <v>52.975999999999999</v>
      </c>
      <c r="R557" s="4" t="s">
        <v>820</v>
      </c>
      <c r="S557" s="4">
        <v>15.528</v>
      </c>
      <c r="T557" s="4">
        <v>37.448</v>
      </c>
    </row>
    <row r="558" spans="1:20" ht="29.4" thickBot="1" x14ac:dyDescent="0.35">
      <c r="A558" s="2" t="s">
        <v>43</v>
      </c>
      <c r="B558" s="2" t="s">
        <v>64</v>
      </c>
      <c r="C558" s="2" t="s">
        <v>35</v>
      </c>
      <c r="D558" s="2" t="s">
        <v>287</v>
      </c>
      <c r="E558" s="2" t="s">
        <v>37</v>
      </c>
      <c r="F558" s="2" t="s">
        <v>288</v>
      </c>
      <c r="G558" s="2" t="s">
        <v>336</v>
      </c>
      <c r="H558" s="3">
        <v>44196</v>
      </c>
      <c r="I558" s="2" t="s">
        <v>100</v>
      </c>
      <c r="J558" s="2" t="s">
        <v>96</v>
      </c>
      <c r="K558" s="4">
        <v>2020</v>
      </c>
      <c r="L558" s="4">
        <v>1.048</v>
      </c>
      <c r="M558" s="4" t="s">
        <v>41</v>
      </c>
      <c r="N558" s="4" t="s">
        <v>47</v>
      </c>
      <c r="O558" s="4">
        <v>471.6</v>
      </c>
      <c r="P558" s="4">
        <v>51.875999999999998</v>
      </c>
      <c r="Q558" s="12">
        <v>419.72399999999999</v>
      </c>
      <c r="R558" s="4" t="s">
        <v>821</v>
      </c>
      <c r="S558" s="4">
        <v>12.576000000000001</v>
      </c>
      <c r="T558" s="4">
        <v>407.14800000000002</v>
      </c>
    </row>
    <row r="559" spans="1:20" ht="15" thickBot="1" x14ac:dyDescent="0.35">
      <c r="A559" s="2" t="s">
        <v>49</v>
      </c>
      <c r="B559" s="2" t="s">
        <v>74</v>
      </c>
      <c r="C559" s="2" t="s">
        <v>35</v>
      </c>
      <c r="D559" s="2" t="s">
        <v>191</v>
      </c>
      <c r="E559" s="2" t="s">
        <v>37</v>
      </c>
      <c r="F559" s="2" t="s">
        <v>192</v>
      </c>
      <c r="G559" s="2" t="s">
        <v>336</v>
      </c>
      <c r="H559" s="3">
        <v>44192</v>
      </c>
      <c r="I559" s="2" t="s">
        <v>100</v>
      </c>
      <c r="J559" s="2" t="s">
        <v>96</v>
      </c>
      <c r="K559" s="4">
        <v>2020</v>
      </c>
      <c r="L559" s="4">
        <v>1.3460000000000001</v>
      </c>
      <c r="M559" s="4" t="s">
        <v>41</v>
      </c>
      <c r="N559" s="4" t="s">
        <v>165</v>
      </c>
      <c r="O559" s="4">
        <v>40.380000000000003</v>
      </c>
      <c r="P559" s="4">
        <v>4.4420000000000002</v>
      </c>
      <c r="Q559" s="12">
        <v>35.938000000000002</v>
      </c>
      <c r="R559" s="4" t="s">
        <v>822</v>
      </c>
      <c r="S559" s="4">
        <v>16.152000000000001</v>
      </c>
      <c r="T559" s="4">
        <v>19.786000000000001</v>
      </c>
    </row>
    <row r="560" spans="1:20" ht="15" thickBot="1" x14ac:dyDescent="0.35">
      <c r="A560" s="2" t="s">
        <v>49</v>
      </c>
      <c r="B560" s="2" t="s">
        <v>50</v>
      </c>
      <c r="C560" s="2" t="s">
        <v>35</v>
      </c>
      <c r="D560" s="2" t="s">
        <v>51</v>
      </c>
      <c r="E560" s="2" t="s">
        <v>37</v>
      </c>
      <c r="F560" s="2" t="s">
        <v>52</v>
      </c>
      <c r="G560" s="2" t="s">
        <v>336</v>
      </c>
      <c r="H560" s="3">
        <v>44168</v>
      </c>
      <c r="I560" s="2" t="s">
        <v>100</v>
      </c>
      <c r="J560" s="2" t="s">
        <v>96</v>
      </c>
      <c r="K560" s="4">
        <v>2020</v>
      </c>
      <c r="L560" s="4">
        <v>2.5249999999999999</v>
      </c>
      <c r="M560" s="4" t="s">
        <v>41</v>
      </c>
      <c r="N560" s="4" t="s">
        <v>54</v>
      </c>
      <c r="O560" s="4" t="s">
        <v>823</v>
      </c>
      <c r="P560" s="4">
        <v>145.81899999999999</v>
      </c>
      <c r="Q560" s="12" t="s">
        <v>824</v>
      </c>
      <c r="R560" s="4" t="s">
        <v>825</v>
      </c>
      <c r="S560" s="4">
        <v>30.3</v>
      </c>
      <c r="T560" s="4" t="s">
        <v>826</v>
      </c>
    </row>
    <row r="561" spans="1:20" ht="29.4" thickBot="1" x14ac:dyDescent="0.35">
      <c r="A561" s="2" t="s">
        <v>58</v>
      </c>
      <c r="B561" s="2" t="s">
        <v>50</v>
      </c>
      <c r="C561" s="2" t="s">
        <v>35</v>
      </c>
      <c r="D561" s="2" t="s">
        <v>255</v>
      </c>
      <c r="E561" s="2" t="s">
        <v>37</v>
      </c>
      <c r="F561" s="2" t="s">
        <v>198</v>
      </c>
      <c r="G561" s="2" t="s">
        <v>336</v>
      </c>
      <c r="H561" s="3">
        <v>44306</v>
      </c>
      <c r="I561" s="2" t="s">
        <v>91</v>
      </c>
      <c r="J561" s="2" t="s">
        <v>92</v>
      </c>
      <c r="K561" s="4">
        <v>2021</v>
      </c>
      <c r="L561" s="4">
        <v>4.8310000000000004</v>
      </c>
      <c r="M561" s="4" t="s">
        <v>41</v>
      </c>
      <c r="N561" s="4" t="s">
        <v>63</v>
      </c>
      <c r="O561" s="4">
        <v>86.957999999999998</v>
      </c>
      <c r="P561" s="4">
        <v>9.5649999999999995</v>
      </c>
      <c r="Q561" s="12">
        <v>77.393000000000001</v>
      </c>
      <c r="R561" s="4" t="s">
        <v>827</v>
      </c>
      <c r="S561" s="4">
        <v>57.972000000000001</v>
      </c>
      <c r="T561" s="4">
        <v>19.420999999999999</v>
      </c>
    </row>
    <row r="562" spans="1:20" ht="29.4" thickBot="1" x14ac:dyDescent="0.35">
      <c r="A562" s="2" t="s">
        <v>58</v>
      </c>
      <c r="B562" s="2" t="s">
        <v>21</v>
      </c>
      <c r="C562" s="2" t="s">
        <v>35</v>
      </c>
      <c r="D562" s="2" t="s">
        <v>144</v>
      </c>
      <c r="E562" s="2" t="s">
        <v>37</v>
      </c>
      <c r="F562" s="2" t="s">
        <v>145</v>
      </c>
      <c r="G562" s="2" t="s">
        <v>336</v>
      </c>
      <c r="H562" s="3">
        <v>44166</v>
      </c>
      <c r="I562" s="2" t="s">
        <v>100</v>
      </c>
      <c r="J562" s="2" t="s">
        <v>96</v>
      </c>
      <c r="K562" s="4">
        <v>2020</v>
      </c>
      <c r="L562" s="4">
        <v>2.911</v>
      </c>
      <c r="M562" s="4" t="s">
        <v>41</v>
      </c>
      <c r="N562" s="4" t="s">
        <v>63</v>
      </c>
      <c r="O562" s="4">
        <v>52.398000000000003</v>
      </c>
      <c r="P562" s="4">
        <v>5.7640000000000002</v>
      </c>
      <c r="Q562" s="12">
        <v>46.634</v>
      </c>
      <c r="R562" s="4" t="s">
        <v>828</v>
      </c>
      <c r="S562" s="4">
        <v>34.932000000000002</v>
      </c>
      <c r="T562" s="4">
        <v>11.702</v>
      </c>
    </row>
    <row r="563" spans="1:20" ht="15" thickBot="1" x14ac:dyDescent="0.35">
      <c r="A563" s="2" t="s">
        <v>49</v>
      </c>
      <c r="B563" s="2" t="s">
        <v>50</v>
      </c>
      <c r="C563" s="2" t="s">
        <v>35</v>
      </c>
      <c r="D563" s="2" t="s">
        <v>51</v>
      </c>
      <c r="E563" s="2" t="s">
        <v>37</v>
      </c>
      <c r="F563" s="2" t="s">
        <v>52</v>
      </c>
      <c r="G563" s="2" t="s">
        <v>336</v>
      </c>
      <c r="H563" s="3">
        <v>43902</v>
      </c>
      <c r="I563" s="2" t="s">
        <v>112</v>
      </c>
      <c r="J563" s="2" t="s">
        <v>40</v>
      </c>
      <c r="K563" s="4">
        <v>2020</v>
      </c>
      <c r="L563" s="4">
        <v>2.8730000000000002</v>
      </c>
      <c r="M563" s="4" t="s">
        <v>41</v>
      </c>
      <c r="N563" s="4" t="s">
        <v>165</v>
      </c>
      <c r="O563" s="4">
        <v>86.19</v>
      </c>
      <c r="P563" s="4">
        <v>9.4809999999999999</v>
      </c>
      <c r="Q563" s="12">
        <v>76.709000000000003</v>
      </c>
      <c r="R563" s="4" t="s">
        <v>829</v>
      </c>
      <c r="S563" s="4">
        <v>34.475999999999999</v>
      </c>
      <c r="T563" s="4">
        <v>42.232999999999997</v>
      </c>
    </row>
    <row r="564" spans="1:20" ht="15" thickBot="1" x14ac:dyDescent="0.35">
      <c r="A564" s="2" t="s">
        <v>33</v>
      </c>
      <c r="B564" s="2" t="s">
        <v>50</v>
      </c>
      <c r="C564" s="2" t="s">
        <v>35</v>
      </c>
      <c r="D564" s="2" t="s">
        <v>202</v>
      </c>
      <c r="E564" s="2" t="s">
        <v>37</v>
      </c>
      <c r="F564" s="2" t="s">
        <v>203</v>
      </c>
      <c r="G564" s="2" t="s">
        <v>336</v>
      </c>
      <c r="H564" s="3">
        <v>44524</v>
      </c>
      <c r="I564" s="2" t="s">
        <v>95</v>
      </c>
      <c r="J564" s="2" t="s">
        <v>96</v>
      </c>
      <c r="K564" s="4">
        <v>2021</v>
      </c>
      <c r="L564" s="4">
        <v>2.3809999999999998</v>
      </c>
      <c r="M564" s="4" t="s">
        <v>41</v>
      </c>
      <c r="N564" s="4" t="s">
        <v>42</v>
      </c>
      <c r="O564" s="4">
        <v>54.762999999999998</v>
      </c>
      <c r="P564" s="4">
        <v>6.024</v>
      </c>
      <c r="Q564" s="12">
        <v>48.738999999999997</v>
      </c>
      <c r="R564" s="4" t="s">
        <v>830</v>
      </c>
      <c r="S564" s="4">
        <v>28.571999999999999</v>
      </c>
      <c r="T564" s="4">
        <v>20.167000000000002</v>
      </c>
    </row>
    <row r="565" spans="1:20" ht="15" thickBot="1" x14ac:dyDescent="0.35">
      <c r="A565" s="2" t="s">
        <v>20</v>
      </c>
      <c r="B565" s="2" t="s">
        <v>44</v>
      </c>
      <c r="C565" s="2" t="s">
        <v>35</v>
      </c>
      <c r="D565" s="2" t="s">
        <v>229</v>
      </c>
      <c r="E565" s="2" t="s">
        <v>37</v>
      </c>
      <c r="F565" s="2" t="s">
        <v>230</v>
      </c>
      <c r="G565" s="2" t="s">
        <v>336</v>
      </c>
      <c r="H565" s="3">
        <v>44109</v>
      </c>
      <c r="I565" s="2" t="s">
        <v>115</v>
      </c>
      <c r="J565" s="2" t="s">
        <v>96</v>
      </c>
      <c r="K565" s="4">
        <v>2020</v>
      </c>
      <c r="L565" s="4">
        <v>2.9289999999999998</v>
      </c>
      <c r="M565" s="4" t="s">
        <v>41</v>
      </c>
      <c r="N565" s="4" t="s">
        <v>30</v>
      </c>
      <c r="O565" s="4">
        <v>550.65200000000004</v>
      </c>
      <c r="P565" s="4">
        <v>60.572000000000003</v>
      </c>
      <c r="Q565" s="12">
        <v>490.08</v>
      </c>
      <c r="R565" s="4" t="s">
        <v>818</v>
      </c>
      <c r="S565" s="4">
        <v>35.148000000000003</v>
      </c>
      <c r="T565" s="4">
        <v>454.93200000000002</v>
      </c>
    </row>
    <row r="566" spans="1:20" ht="29.4" thickBot="1" x14ac:dyDescent="0.35">
      <c r="A566" s="2" t="s">
        <v>43</v>
      </c>
      <c r="B566" s="2" t="s">
        <v>64</v>
      </c>
      <c r="C566" s="2" t="s">
        <v>35</v>
      </c>
      <c r="D566" s="2" t="s">
        <v>287</v>
      </c>
      <c r="E566" s="2" t="s">
        <v>37</v>
      </c>
      <c r="F566" s="2" t="s">
        <v>288</v>
      </c>
      <c r="G566" s="2" t="s">
        <v>336</v>
      </c>
      <c r="H566" s="3">
        <v>44121</v>
      </c>
      <c r="I566" s="2" t="s">
        <v>115</v>
      </c>
      <c r="J566" s="2" t="s">
        <v>96</v>
      </c>
      <c r="K566" s="4">
        <v>2020</v>
      </c>
      <c r="L566" s="4">
        <v>1.639</v>
      </c>
      <c r="M566" s="4" t="s">
        <v>41</v>
      </c>
      <c r="N566" s="4" t="s">
        <v>47</v>
      </c>
      <c r="O566" s="4">
        <v>737.55</v>
      </c>
      <c r="P566" s="4">
        <v>81.131</v>
      </c>
      <c r="Q566" s="12">
        <v>656.42</v>
      </c>
      <c r="R566" s="4" t="s">
        <v>831</v>
      </c>
      <c r="S566" s="4">
        <v>19.667999999999999</v>
      </c>
      <c r="T566" s="4">
        <v>636.75199999999995</v>
      </c>
    </row>
    <row r="567" spans="1:20" ht="15" thickBot="1" x14ac:dyDescent="0.35">
      <c r="A567" s="2" t="s">
        <v>49</v>
      </c>
      <c r="B567" s="2" t="s">
        <v>74</v>
      </c>
      <c r="C567" s="2" t="s">
        <v>69</v>
      </c>
      <c r="D567" s="2" t="s">
        <v>113</v>
      </c>
      <c r="E567" s="2" t="s">
        <v>71</v>
      </c>
      <c r="F567" s="2" t="s">
        <v>114</v>
      </c>
      <c r="G567" s="2" t="s">
        <v>336</v>
      </c>
      <c r="H567" s="3">
        <v>43929</v>
      </c>
      <c r="I567" s="2" t="s">
        <v>91</v>
      </c>
      <c r="J567" s="2" t="s">
        <v>92</v>
      </c>
      <c r="K567" s="4">
        <v>2020</v>
      </c>
      <c r="L567" s="4">
        <v>2.17</v>
      </c>
      <c r="M567" s="4" t="s">
        <v>73</v>
      </c>
      <c r="N567" s="4" t="s">
        <v>116</v>
      </c>
      <c r="O567" s="4">
        <v>23.87</v>
      </c>
      <c r="P567" s="4">
        <v>2.6259999999999999</v>
      </c>
      <c r="Q567" s="12">
        <v>21.244</v>
      </c>
      <c r="R567" s="5">
        <v>46327</v>
      </c>
      <c r="S567" s="4">
        <v>321.16000000000003</v>
      </c>
      <c r="T567" s="4">
        <v>-299.916</v>
      </c>
    </row>
    <row r="568" spans="1:20" ht="29.4" thickBot="1" x14ac:dyDescent="0.35">
      <c r="A568" s="2" t="s">
        <v>58</v>
      </c>
      <c r="B568" s="2" t="s">
        <v>21</v>
      </c>
      <c r="C568" s="2" t="s">
        <v>75</v>
      </c>
      <c r="D568" s="2" t="s">
        <v>325</v>
      </c>
      <c r="E568" s="2" t="s">
        <v>77</v>
      </c>
      <c r="F568" s="2" t="s">
        <v>326</v>
      </c>
      <c r="G568" s="2" t="s">
        <v>336</v>
      </c>
      <c r="H568" s="3">
        <v>44107</v>
      </c>
      <c r="I568" s="2" t="s">
        <v>115</v>
      </c>
      <c r="J568" s="2" t="s">
        <v>96</v>
      </c>
      <c r="K568" s="4">
        <v>2020</v>
      </c>
      <c r="L568" s="4">
        <v>2.081</v>
      </c>
      <c r="M568" s="4" t="s">
        <v>80</v>
      </c>
      <c r="N568" s="4" t="s">
        <v>63</v>
      </c>
      <c r="O568" s="4">
        <v>37.457999999999998</v>
      </c>
      <c r="P568" s="4">
        <v>4.12</v>
      </c>
      <c r="Q568" s="12">
        <v>33.338000000000001</v>
      </c>
      <c r="R568" s="4" t="s">
        <v>832</v>
      </c>
      <c r="S568" s="4">
        <v>640.94799999999998</v>
      </c>
      <c r="T568" s="4">
        <v>-607.61</v>
      </c>
    </row>
    <row r="569" spans="1:20" ht="15" thickBot="1" x14ac:dyDescent="0.35">
      <c r="A569" s="2" t="s">
        <v>20</v>
      </c>
      <c r="B569" s="2" t="s">
        <v>59</v>
      </c>
      <c r="C569" s="2" t="s">
        <v>75</v>
      </c>
      <c r="D569" s="2" t="s">
        <v>534</v>
      </c>
      <c r="E569" s="2" t="s">
        <v>77</v>
      </c>
      <c r="F569" s="2" t="s">
        <v>238</v>
      </c>
      <c r="G569" s="2" t="s">
        <v>336</v>
      </c>
      <c r="H569" s="3">
        <v>43986</v>
      </c>
      <c r="I569" s="2" t="s">
        <v>205</v>
      </c>
      <c r="J569" s="2" t="s">
        <v>92</v>
      </c>
      <c r="K569" s="4">
        <v>2020</v>
      </c>
      <c r="L569" s="4">
        <v>665</v>
      </c>
      <c r="M569" s="4" t="s">
        <v>80</v>
      </c>
      <c r="N569" s="4" t="s">
        <v>30</v>
      </c>
      <c r="O569" s="4">
        <v>125.02</v>
      </c>
      <c r="P569" s="4">
        <v>13.752000000000001</v>
      </c>
      <c r="Q569" s="12">
        <v>111.268</v>
      </c>
      <c r="R569" s="4" t="s">
        <v>833</v>
      </c>
      <c r="S569" s="4">
        <v>204.82</v>
      </c>
      <c r="T569" s="4">
        <v>-93.552000000000007</v>
      </c>
    </row>
    <row r="570" spans="1:20" ht="15" thickBot="1" x14ac:dyDescent="0.35">
      <c r="A570" s="2" t="s">
        <v>20</v>
      </c>
      <c r="B570" s="2" t="s">
        <v>21</v>
      </c>
      <c r="C570" s="2" t="s">
        <v>120</v>
      </c>
      <c r="D570" s="2" t="s">
        <v>297</v>
      </c>
      <c r="E570" s="2" t="s">
        <v>122</v>
      </c>
      <c r="F570" s="2" t="s">
        <v>298</v>
      </c>
      <c r="G570" s="2" t="s">
        <v>336</v>
      </c>
      <c r="H570" s="3">
        <v>44142</v>
      </c>
      <c r="I570" s="2" t="s">
        <v>95</v>
      </c>
      <c r="J570" s="2" t="s">
        <v>96</v>
      </c>
      <c r="K570" s="4">
        <v>2020</v>
      </c>
      <c r="L570" s="4">
        <v>3.798</v>
      </c>
      <c r="M570" s="4" t="s">
        <v>124</v>
      </c>
      <c r="N570" s="4" t="s">
        <v>30</v>
      </c>
      <c r="O570" s="4">
        <v>714.024</v>
      </c>
      <c r="P570" s="4">
        <v>78.543000000000006</v>
      </c>
      <c r="Q570" s="12">
        <v>635.48099999999999</v>
      </c>
      <c r="R570" s="4" t="s">
        <v>834</v>
      </c>
      <c r="S570" s="4" t="s">
        <v>835</v>
      </c>
      <c r="T570" s="4">
        <v>-579.87900000000002</v>
      </c>
    </row>
    <row r="571" spans="1:20" ht="15" thickBot="1" x14ac:dyDescent="0.35">
      <c r="A571" s="2" t="s">
        <v>49</v>
      </c>
      <c r="B571" s="2" t="s">
        <v>59</v>
      </c>
      <c r="C571" s="2" t="s">
        <v>120</v>
      </c>
      <c r="D571" s="2" t="s">
        <v>369</v>
      </c>
      <c r="E571" s="2" t="s">
        <v>122</v>
      </c>
      <c r="F571" s="2" t="s">
        <v>249</v>
      </c>
      <c r="G571" s="2" t="s">
        <v>336</v>
      </c>
      <c r="H571" s="3">
        <v>44312</v>
      </c>
      <c r="I571" s="2" t="s">
        <v>91</v>
      </c>
      <c r="J571" s="2" t="s">
        <v>92</v>
      </c>
      <c r="K571" s="4">
        <v>2021</v>
      </c>
      <c r="L571" s="4">
        <v>3.1549999999999998</v>
      </c>
      <c r="M571" s="4" t="s">
        <v>124</v>
      </c>
      <c r="N571" s="4" t="s">
        <v>165</v>
      </c>
      <c r="O571" s="4">
        <v>94.65</v>
      </c>
      <c r="P571" s="4">
        <v>10.412000000000001</v>
      </c>
      <c r="Q571" s="12">
        <v>84.239000000000004</v>
      </c>
      <c r="R571" s="4" t="s">
        <v>836</v>
      </c>
      <c r="S571" s="4" t="s">
        <v>837</v>
      </c>
      <c r="T571" s="4">
        <v>-925.36199999999997</v>
      </c>
    </row>
    <row r="572" spans="1:20" ht="15" thickBot="1" x14ac:dyDescent="0.35">
      <c r="A572" s="2" t="s">
        <v>20</v>
      </c>
      <c r="B572" s="2" t="s">
        <v>34</v>
      </c>
      <c r="C572" s="2" t="s">
        <v>120</v>
      </c>
      <c r="D572" s="2" t="s">
        <v>652</v>
      </c>
      <c r="E572" s="2" t="s">
        <v>122</v>
      </c>
      <c r="F572" s="2" t="s">
        <v>356</v>
      </c>
      <c r="G572" s="2" t="s">
        <v>336</v>
      </c>
      <c r="H572" s="3">
        <v>44033</v>
      </c>
      <c r="I572" s="2" t="s">
        <v>62</v>
      </c>
      <c r="J572" s="2" t="s">
        <v>28</v>
      </c>
      <c r="K572" s="4">
        <v>2020</v>
      </c>
      <c r="L572" s="4">
        <v>1.72</v>
      </c>
      <c r="M572" s="4" t="s">
        <v>124</v>
      </c>
      <c r="N572" s="4" t="s">
        <v>30</v>
      </c>
      <c r="O572" s="4">
        <v>323.36</v>
      </c>
      <c r="P572" s="4">
        <v>35.57</v>
      </c>
      <c r="Q572" s="12">
        <v>287.79000000000002</v>
      </c>
      <c r="R572" s="4" t="s">
        <v>838</v>
      </c>
      <c r="S572" s="4">
        <v>550.4</v>
      </c>
      <c r="T572" s="4">
        <v>-262.61</v>
      </c>
    </row>
    <row r="573" spans="1:20" ht="15" thickBot="1" x14ac:dyDescent="0.35">
      <c r="A573" s="2" t="s">
        <v>33</v>
      </c>
      <c r="B573" s="2" t="s">
        <v>74</v>
      </c>
      <c r="C573" s="2" t="s">
        <v>120</v>
      </c>
      <c r="D573" s="2" t="s">
        <v>413</v>
      </c>
      <c r="E573" s="2" t="s">
        <v>122</v>
      </c>
      <c r="F573" s="2" t="s">
        <v>414</v>
      </c>
      <c r="G573" s="2" t="s">
        <v>336</v>
      </c>
      <c r="H573" s="3">
        <v>44131</v>
      </c>
      <c r="I573" s="2" t="s">
        <v>115</v>
      </c>
      <c r="J573" s="2" t="s">
        <v>96</v>
      </c>
      <c r="K573" s="4">
        <v>2020</v>
      </c>
      <c r="L573" s="4">
        <v>2.5880000000000001</v>
      </c>
      <c r="M573" s="4" t="s">
        <v>124</v>
      </c>
      <c r="N573" s="4" t="s">
        <v>42</v>
      </c>
      <c r="O573" s="4">
        <v>59.524000000000001</v>
      </c>
      <c r="P573" s="4">
        <v>6.548</v>
      </c>
      <c r="Q573" s="12">
        <v>52.975999999999999</v>
      </c>
      <c r="R573" s="4" t="s">
        <v>820</v>
      </c>
      <c r="S573" s="4">
        <v>828.16</v>
      </c>
      <c r="T573" s="4">
        <v>-775.18399999999997</v>
      </c>
    </row>
    <row r="574" spans="1:20" ht="15" thickBot="1" x14ac:dyDescent="0.35">
      <c r="A574" s="2" t="s">
        <v>49</v>
      </c>
      <c r="B574" s="2" t="s">
        <v>34</v>
      </c>
      <c r="C574" s="2" t="s">
        <v>82</v>
      </c>
      <c r="D574" s="2" t="s">
        <v>275</v>
      </c>
      <c r="E574" s="2" t="s">
        <v>84</v>
      </c>
      <c r="F574" s="2" t="s">
        <v>276</v>
      </c>
      <c r="G574" s="2" t="s">
        <v>336</v>
      </c>
      <c r="H574" s="3">
        <v>44537</v>
      </c>
      <c r="I574" s="2" t="s">
        <v>100</v>
      </c>
      <c r="J574" s="2" t="s">
        <v>96</v>
      </c>
      <c r="K574" s="4">
        <v>2021</v>
      </c>
      <c r="L574" s="4">
        <v>1.0629999999999999</v>
      </c>
      <c r="M574" s="4" t="s">
        <v>87</v>
      </c>
      <c r="N574" s="4" t="s">
        <v>54</v>
      </c>
      <c r="O574" s="4">
        <v>558.07500000000005</v>
      </c>
      <c r="P574" s="4">
        <v>66.968999999999994</v>
      </c>
      <c r="Q574" s="12">
        <v>491.10599999999999</v>
      </c>
      <c r="R574" s="4" t="s">
        <v>839</v>
      </c>
      <c r="S574" s="4">
        <v>4.2519999999999998</v>
      </c>
      <c r="T574" s="4">
        <v>486.85399999999998</v>
      </c>
    </row>
    <row r="575" spans="1:20" ht="15" thickBot="1" x14ac:dyDescent="0.35">
      <c r="A575" s="2" t="s">
        <v>20</v>
      </c>
      <c r="B575" s="2" t="s">
        <v>50</v>
      </c>
      <c r="C575" s="2" t="s">
        <v>82</v>
      </c>
      <c r="D575" s="2" t="s">
        <v>394</v>
      </c>
      <c r="E575" s="2" t="s">
        <v>84</v>
      </c>
      <c r="F575" s="2" t="s">
        <v>313</v>
      </c>
      <c r="G575" s="2" t="s">
        <v>336</v>
      </c>
      <c r="H575" s="3">
        <v>44122</v>
      </c>
      <c r="I575" s="2" t="s">
        <v>115</v>
      </c>
      <c r="J575" s="2" t="s">
        <v>96</v>
      </c>
      <c r="K575" s="4">
        <v>2020</v>
      </c>
      <c r="L575" s="4">
        <v>2.5870000000000002</v>
      </c>
      <c r="M575" s="4" t="s">
        <v>87</v>
      </c>
      <c r="N575" s="4" t="s">
        <v>30</v>
      </c>
      <c r="O575" s="4">
        <v>486.35599999999999</v>
      </c>
      <c r="P575" s="4">
        <v>58.363</v>
      </c>
      <c r="Q575" s="12">
        <v>427.99299999999999</v>
      </c>
      <c r="R575" s="4" t="s">
        <v>840</v>
      </c>
      <c r="S575" s="4">
        <v>10.348000000000001</v>
      </c>
      <c r="T575" s="4">
        <v>417.64499999999998</v>
      </c>
    </row>
    <row r="576" spans="1:20" ht="15" thickBot="1" x14ac:dyDescent="0.35">
      <c r="A576" s="2" t="s">
        <v>33</v>
      </c>
      <c r="B576" s="2" t="s">
        <v>34</v>
      </c>
      <c r="C576" s="2" t="s">
        <v>82</v>
      </c>
      <c r="D576" s="2" t="s">
        <v>355</v>
      </c>
      <c r="E576" s="2" t="s">
        <v>84</v>
      </c>
      <c r="F576" s="2" t="s">
        <v>356</v>
      </c>
      <c r="G576" s="2" t="s">
        <v>336</v>
      </c>
      <c r="H576" s="3">
        <v>43998</v>
      </c>
      <c r="I576" s="2" t="s">
        <v>205</v>
      </c>
      <c r="J576" s="2" t="s">
        <v>92</v>
      </c>
      <c r="K576" s="4">
        <v>2020</v>
      </c>
      <c r="L576" s="4">
        <v>3.2269999999999999</v>
      </c>
      <c r="M576" s="4" t="s">
        <v>87</v>
      </c>
      <c r="N576" s="4" t="s">
        <v>42</v>
      </c>
      <c r="O576" s="4">
        <v>74.221000000000004</v>
      </c>
      <c r="P576" s="4">
        <v>8.907</v>
      </c>
      <c r="Q576" s="12">
        <v>65.313999999999993</v>
      </c>
      <c r="R576" s="4" t="s">
        <v>841</v>
      </c>
      <c r="S576" s="4">
        <v>12.907999999999999</v>
      </c>
      <c r="T576" s="4">
        <v>52.405999999999999</v>
      </c>
    </row>
    <row r="577" spans="1:20" ht="15" thickBot="1" x14ac:dyDescent="0.35">
      <c r="A577" s="2" t="s">
        <v>33</v>
      </c>
      <c r="B577" s="2" t="s">
        <v>21</v>
      </c>
      <c r="C577" s="2" t="s">
        <v>22</v>
      </c>
      <c r="D577" s="2" t="s">
        <v>450</v>
      </c>
      <c r="E577" s="2" t="s">
        <v>24</v>
      </c>
      <c r="F577" s="2" t="s">
        <v>354</v>
      </c>
      <c r="G577" s="2" t="s">
        <v>336</v>
      </c>
      <c r="H577" s="3">
        <v>44502</v>
      </c>
      <c r="I577" s="2" t="s">
        <v>95</v>
      </c>
      <c r="J577" s="2" t="s">
        <v>96</v>
      </c>
      <c r="K577" s="4">
        <v>2021</v>
      </c>
      <c r="L577" s="4">
        <v>812</v>
      </c>
      <c r="M577" s="4" t="s">
        <v>29</v>
      </c>
      <c r="N577" s="4" t="s">
        <v>42</v>
      </c>
      <c r="O577" s="4">
        <v>18.675999999999998</v>
      </c>
      <c r="P577" s="4">
        <v>2.2410000000000001</v>
      </c>
      <c r="Q577" s="12">
        <v>16.434999999999999</v>
      </c>
      <c r="R577" s="5">
        <v>34547</v>
      </c>
      <c r="S577" s="4">
        <v>4.8719999999999999</v>
      </c>
      <c r="T577" s="4">
        <v>11.563000000000001</v>
      </c>
    </row>
    <row r="578" spans="1:20" ht="29.4" thickBot="1" x14ac:dyDescent="0.35">
      <c r="A578" s="2" t="s">
        <v>43</v>
      </c>
      <c r="B578" s="2" t="s">
        <v>64</v>
      </c>
      <c r="C578" s="2" t="s">
        <v>22</v>
      </c>
      <c r="D578" s="2" t="s">
        <v>317</v>
      </c>
      <c r="E578" s="2" t="s">
        <v>24</v>
      </c>
      <c r="F578" s="2" t="s">
        <v>318</v>
      </c>
      <c r="G578" s="2" t="s">
        <v>336</v>
      </c>
      <c r="H578" s="3">
        <v>44533</v>
      </c>
      <c r="I578" s="2" t="s">
        <v>100</v>
      </c>
      <c r="J578" s="2" t="s">
        <v>96</v>
      </c>
      <c r="K578" s="4">
        <v>2021</v>
      </c>
      <c r="L578" s="4">
        <v>2.1280000000000001</v>
      </c>
      <c r="M578" s="4" t="s">
        <v>29</v>
      </c>
      <c r="N578" s="4" t="s">
        <v>47</v>
      </c>
      <c r="O578" s="4">
        <v>957.6</v>
      </c>
      <c r="P578" s="4">
        <v>114.91200000000001</v>
      </c>
      <c r="Q578" s="12">
        <v>842.68799999999999</v>
      </c>
      <c r="R578" s="4" t="s">
        <v>842</v>
      </c>
      <c r="S578" s="4">
        <v>12.768000000000001</v>
      </c>
      <c r="T578" s="4">
        <v>829.92</v>
      </c>
    </row>
    <row r="579" spans="1:20" ht="15" thickBot="1" x14ac:dyDescent="0.35">
      <c r="A579" s="2" t="s">
        <v>49</v>
      </c>
      <c r="B579" s="2" t="s">
        <v>21</v>
      </c>
      <c r="C579" s="2" t="s">
        <v>22</v>
      </c>
      <c r="D579" s="2" t="s">
        <v>221</v>
      </c>
      <c r="E579" s="2" t="s">
        <v>24</v>
      </c>
      <c r="F579" s="2" t="s">
        <v>222</v>
      </c>
      <c r="G579" s="2" t="s">
        <v>336</v>
      </c>
      <c r="H579" s="3">
        <v>44167</v>
      </c>
      <c r="I579" s="2" t="s">
        <v>100</v>
      </c>
      <c r="J579" s="2" t="s">
        <v>96</v>
      </c>
      <c r="K579" s="4">
        <v>2020</v>
      </c>
      <c r="L579" s="4">
        <v>2.9039999999999999</v>
      </c>
      <c r="M579" s="4" t="s">
        <v>29</v>
      </c>
      <c r="N579" s="4" t="s">
        <v>116</v>
      </c>
      <c r="O579" s="4">
        <v>31.943999999999999</v>
      </c>
      <c r="P579" s="4">
        <v>3.8330000000000002</v>
      </c>
      <c r="Q579" s="12">
        <v>28.111000000000001</v>
      </c>
      <c r="R579" s="4" t="s">
        <v>843</v>
      </c>
      <c r="S579" s="4">
        <v>17.423999999999999</v>
      </c>
      <c r="T579" s="4">
        <v>10.686999999999999</v>
      </c>
    </row>
    <row r="580" spans="1:20" ht="15" thickBot="1" x14ac:dyDescent="0.35">
      <c r="A580" s="2" t="s">
        <v>49</v>
      </c>
      <c r="B580" s="2" t="s">
        <v>44</v>
      </c>
      <c r="C580" s="2" t="s">
        <v>22</v>
      </c>
      <c r="D580" s="2" t="s">
        <v>200</v>
      </c>
      <c r="E580" s="2" t="s">
        <v>24</v>
      </c>
      <c r="F580" s="2" t="s">
        <v>201</v>
      </c>
      <c r="G580" s="2" t="s">
        <v>336</v>
      </c>
      <c r="H580" s="3">
        <v>44323</v>
      </c>
      <c r="I580" s="2" t="s">
        <v>142</v>
      </c>
      <c r="J580" s="2" t="s">
        <v>92</v>
      </c>
      <c r="K580" s="4">
        <v>2021</v>
      </c>
      <c r="L580" s="4">
        <v>3.2810000000000001</v>
      </c>
      <c r="M580" s="4" t="s">
        <v>29</v>
      </c>
      <c r="N580" s="4" t="s">
        <v>116</v>
      </c>
      <c r="O580" s="4">
        <v>36.091000000000001</v>
      </c>
      <c r="P580" s="4">
        <v>4.3310000000000004</v>
      </c>
      <c r="Q580" s="12">
        <v>31.76</v>
      </c>
      <c r="R580" s="4" t="s">
        <v>844</v>
      </c>
      <c r="S580" s="4">
        <v>19.686</v>
      </c>
      <c r="T580" s="4">
        <v>12.074</v>
      </c>
    </row>
    <row r="581" spans="1:20" ht="29.4" thickBot="1" x14ac:dyDescent="0.35">
      <c r="A581" s="2" t="s">
        <v>43</v>
      </c>
      <c r="B581" s="2" t="s">
        <v>50</v>
      </c>
      <c r="C581" s="2" t="s">
        <v>35</v>
      </c>
      <c r="D581" s="2" t="s">
        <v>494</v>
      </c>
      <c r="E581" s="2" t="s">
        <v>37</v>
      </c>
      <c r="F581" s="2" t="s">
        <v>367</v>
      </c>
      <c r="G581" s="2" t="s">
        <v>336</v>
      </c>
      <c r="H581" s="3">
        <v>44442</v>
      </c>
      <c r="I581" s="2" t="s">
        <v>27</v>
      </c>
      <c r="J581" s="2" t="s">
        <v>28</v>
      </c>
      <c r="K581" s="4">
        <v>2021</v>
      </c>
      <c r="L581" s="4">
        <v>4.194</v>
      </c>
      <c r="M581" s="4" t="s">
        <v>41</v>
      </c>
      <c r="N581" s="4" t="s">
        <v>47</v>
      </c>
      <c r="O581" s="4" t="s">
        <v>845</v>
      </c>
      <c r="P581" s="4">
        <v>226.476</v>
      </c>
      <c r="Q581" s="12" t="s">
        <v>846</v>
      </c>
      <c r="R581" s="4" t="s">
        <v>847</v>
      </c>
      <c r="S581" s="4">
        <v>50.328000000000003</v>
      </c>
      <c r="T581" s="4" t="s">
        <v>848</v>
      </c>
    </row>
    <row r="582" spans="1:20" ht="15" thickBot="1" x14ac:dyDescent="0.35">
      <c r="A582" s="2" t="s">
        <v>49</v>
      </c>
      <c r="B582" s="2" t="s">
        <v>74</v>
      </c>
      <c r="C582" s="2" t="s">
        <v>35</v>
      </c>
      <c r="D582" s="2" t="s">
        <v>191</v>
      </c>
      <c r="E582" s="2" t="s">
        <v>37</v>
      </c>
      <c r="F582" s="2" t="s">
        <v>192</v>
      </c>
      <c r="G582" s="2" t="s">
        <v>336</v>
      </c>
      <c r="H582" s="3">
        <v>44008</v>
      </c>
      <c r="I582" s="2" t="s">
        <v>205</v>
      </c>
      <c r="J582" s="2" t="s">
        <v>92</v>
      </c>
      <c r="K582" s="4">
        <v>2020</v>
      </c>
      <c r="L582" s="4">
        <v>1.0629999999999999</v>
      </c>
      <c r="M582" s="4" t="s">
        <v>41</v>
      </c>
      <c r="N582" s="4" t="s">
        <v>54</v>
      </c>
      <c r="O582" s="4">
        <v>558.07500000000005</v>
      </c>
      <c r="P582" s="4">
        <v>66.968999999999994</v>
      </c>
      <c r="Q582" s="12">
        <v>491.10599999999999</v>
      </c>
      <c r="R582" s="4" t="s">
        <v>839</v>
      </c>
      <c r="S582" s="4">
        <v>12.756</v>
      </c>
      <c r="T582" s="4">
        <v>478.35</v>
      </c>
    </row>
    <row r="583" spans="1:20" ht="15" thickBot="1" x14ac:dyDescent="0.35">
      <c r="A583" s="2" t="s">
        <v>20</v>
      </c>
      <c r="B583" s="2" t="s">
        <v>74</v>
      </c>
      <c r="C583" s="2" t="s">
        <v>35</v>
      </c>
      <c r="D583" s="2" t="s">
        <v>140</v>
      </c>
      <c r="E583" s="2" t="s">
        <v>37</v>
      </c>
      <c r="F583" s="2" t="s">
        <v>141</v>
      </c>
      <c r="G583" s="2" t="s">
        <v>336</v>
      </c>
      <c r="H583" s="3">
        <v>44006</v>
      </c>
      <c r="I583" s="2" t="s">
        <v>205</v>
      </c>
      <c r="J583" s="2" t="s">
        <v>92</v>
      </c>
      <c r="K583" s="4">
        <v>2020</v>
      </c>
      <c r="L583" s="4">
        <v>2.5870000000000002</v>
      </c>
      <c r="M583" s="4" t="s">
        <v>41</v>
      </c>
      <c r="N583" s="4" t="s">
        <v>30</v>
      </c>
      <c r="O583" s="4">
        <v>486.35599999999999</v>
      </c>
      <c r="P583" s="4">
        <v>58.363</v>
      </c>
      <c r="Q583" s="12">
        <v>427.99299999999999</v>
      </c>
      <c r="R583" s="4" t="s">
        <v>840</v>
      </c>
      <c r="S583" s="4">
        <v>31.044</v>
      </c>
      <c r="T583" s="4">
        <v>396.94900000000001</v>
      </c>
    </row>
    <row r="584" spans="1:20" ht="15" thickBot="1" x14ac:dyDescent="0.35">
      <c r="A584" s="2" t="s">
        <v>49</v>
      </c>
      <c r="B584" s="2" t="s">
        <v>74</v>
      </c>
      <c r="C584" s="2" t="s">
        <v>35</v>
      </c>
      <c r="D584" s="2" t="s">
        <v>191</v>
      </c>
      <c r="E584" s="2" t="s">
        <v>37</v>
      </c>
      <c r="F584" s="2" t="s">
        <v>192</v>
      </c>
      <c r="G584" s="2" t="s">
        <v>336</v>
      </c>
      <c r="H584" s="3">
        <v>44318</v>
      </c>
      <c r="I584" s="2" t="s">
        <v>142</v>
      </c>
      <c r="J584" s="2" t="s">
        <v>92</v>
      </c>
      <c r="K584" s="4">
        <v>2021</v>
      </c>
      <c r="L584" s="4">
        <v>1.0860000000000001</v>
      </c>
      <c r="M584" s="4" t="s">
        <v>41</v>
      </c>
      <c r="N584" s="4" t="s">
        <v>165</v>
      </c>
      <c r="O584" s="4">
        <v>32.58</v>
      </c>
      <c r="P584" s="4">
        <v>3.91</v>
      </c>
      <c r="Q584" s="12">
        <v>28.67</v>
      </c>
      <c r="R584" s="4" t="s">
        <v>849</v>
      </c>
      <c r="S584" s="4">
        <v>13.032</v>
      </c>
      <c r="T584" s="4">
        <v>15.638</v>
      </c>
    </row>
    <row r="585" spans="1:20" ht="15" thickBot="1" x14ac:dyDescent="0.35">
      <c r="A585" s="2" t="s">
        <v>49</v>
      </c>
      <c r="B585" s="2" t="s">
        <v>50</v>
      </c>
      <c r="C585" s="2" t="s">
        <v>35</v>
      </c>
      <c r="D585" s="2" t="s">
        <v>233</v>
      </c>
      <c r="E585" s="2" t="s">
        <v>37</v>
      </c>
      <c r="F585" s="2" t="s">
        <v>234</v>
      </c>
      <c r="G585" s="2" t="s">
        <v>336</v>
      </c>
      <c r="H585" s="3">
        <v>44024</v>
      </c>
      <c r="I585" s="2" t="s">
        <v>62</v>
      </c>
      <c r="J585" s="2" t="s">
        <v>28</v>
      </c>
      <c r="K585" s="4">
        <v>2020</v>
      </c>
      <c r="L585" s="4">
        <v>1.913</v>
      </c>
      <c r="M585" s="4" t="s">
        <v>41</v>
      </c>
      <c r="N585" s="4" t="s">
        <v>54</v>
      </c>
      <c r="O585" s="4" t="s">
        <v>850</v>
      </c>
      <c r="P585" s="4">
        <v>120.51900000000001</v>
      </c>
      <c r="Q585" s="12">
        <v>883.80600000000004</v>
      </c>
      <c r="R585" s="4" t="s">
        <v>851</v>
      </c>
      <c r="S585" s="4">
        <v>22.956</v>
      </c>
      <c r="T585" s="4">
        <v>860.85</v>
      </c>
    </row>
    <row r="586" spans="1:20" ht="29.4" thickBot="1" x14ac:dyDescent="0.35">
      <c r="A586" s="2" t="s">
        <v>43</v>
      </c>
      <c r="B586" s="2" t="s">
        <v>59</v>
      </c>
      <c r="C586" s="2" t="s">
        <v>35</v>
      </c>
      <c r="D586" s="2" t="s">
        <v>285</v>
      </c>
      <c r="E586" s="2" t="s">
        <v>37</v>
      </c>
      <c r="F586" s="2" t="s">
        <v>249</v>
      </c>
      <c r="G586" s="2" t="s">
        <v>336</v>
      </c>
      <c r="H586" s="3">
        <v>44129</v>
      </c>
      <c r="I586" s="2" t="s">
        <v>115</v>
      </c>
      <c r="J586" s="2" t="s">
        <v>96</v>
      </c>
      <c r="K586" s="4">
        <v>2020</v>
      </c>
      <c r="L586" s="4">
        <v>1.631</v>
      </c>
      <c r="M586" s="4" t="s">
        <v>41</v>
      </c>
      <c r="N586" s="4" t="s">
        <v>47</v>
      </c>
      <c r="O586" s="4">
        <v>733.95</v>
      </c>
      <c r="P586" s="4">
        <v>88.073999999999998</v>
      </c>
      <c r="Q586" s="12">
        <v>645.87599999999998</v>
      </c>
      <c r="R586" s="4" t="s">
        <v>852</v>
      </c>
      <c r="S586" s="4">
        <v>19.571999999999999</v>
      </c>
      <c r="T586" s="4">
        <v>626.30399999999997</v>
      </c>
    </row>
    <row r="587" spans="1:20" ht="29.4" thickBot="1" x14ac:dyDescent="0.35">
      <c r="A587" s="2" t="s">
        <v>43</v>
      </c>
      <c r="B587" s="2" t="s">
        <v>44</v>
      </c>
      <c r="C587" s="2" t="s">
        <v>35</v>
      </c>
      <c r="D587" s="2" t="s">
        <v>45</v>
      </c>
      <c r="E587" s="2" t="s">
        <v>37</v>
      </c>
      <c r="F587" s="2" t="s">
        <v>46</v>
      </c>
      <c r="G587" s="2" t="s">
        <v>336</v>
      </c>
      <c r="H587" s="3">
        <v>44309</v>
      </c>
      <c r="I587" s="2" t="s">
        <v>91</v>
      </c>
      <c r="J587" s="2" t="s">
        <v>92</v>
      </c>
      <c r="K587" s="4">
        <v>2021</v>
      </c>
      <c r="L587" s="4">
        <v>2.58</v>
      </c>
      <c r="M587" s="4" t="s">
        <v>41</v>
      </c>
      <c r="N587" s="4" t="s">
        <v>47</v>
      </c>
      <c r="O587" s="4" t="s">
        <v>853</v>
      </c>
      <c r="P587" s="4">
        <v>139.32</v>
      </c>
      <c r="Q587" s="12" t="s">
        <v>854</v>
      </c>
      <c r="R587" s="4" t="s">
        <v>855</v>
      </c>
      <c r="S587" s="4">
        <v>30.96</v>
      </c>
      <c r="T587" s="4">
        <v>990.72</v>
      </c>
    </row>
    <row r="588" spans="1:20" ht="15" thickBot="1" x14ac:dyDescent="0.35">
      <c r="A588" s="2" t="s">
        <v>49</v>
      </c>
      <c r="B588" s="2" t="s">
        <v>74</v>
      </c>
      <c r="C588" s="2" t="s">
        <v>35</v>
      </c>
      <c r="D588" s="2" t="s">
        <v>191</v>
      </c>
      <c r="E588" s="2" t="s">
        <v>37</v>
      </c>
      <c r="F588" s="2" t="s">
        <v>192</v>
      </c>
      <c r="G588" s="2" t="s">
        <v>336</v>
      </c>
      <c r="H588" s="3">
        <v>44282</v>
      </c>
      <c r="I588" s="2" t="s">
        <v>112</v>
      </c>
      <c r="J588" s="2" t="s">
        <v>40</v>
      </c>
      <c r="K588" s="4">
        <v>2021</v>
      </c>
      <c r="L588" s="4">
        <v>1.4359999999999999</v>
      </c>
      <c r="M588" s="4" t="s">
        <v>41</v>
      </c>
      <c r="N588" s="4" t="s">
        <v>54</v>
      </c>
      <c r="O588" s="4">
        <v>753.9</v>
      </c>
      <c r="P588" s="4">
        <v>90.468000000000004</v>
      </c>
      <c r="Q588" s="12">
        <v>663.43200000000002</v>
      </c>
      <c r="R588" s="4" t="s">
        <v>856</v>
      </c>
      <c r="S588" s="4">
        <v>17.231999999999999</v>
      </c>
      <c r="T588" s="4">
        <v>646.20000000000005</v>
      </c>
    </row>
    <row r="589" spans="1:20" ht="15" thickBot="1" x14ac:dyDescent="0.35">
      <c r="A589" s="2" t="s">
        <v>49</v>
      </c>
      <c r="B589" s="2" t="s">
        <v>74</v>
      </c>
      <c r="C589" s="2" t="s">
        <v>35</v>
      </c>
      <c r="D589" s="2" t="s">
        <v>191</v>
      </c>
      <c r="E589" s="2" t="s">
        <v>37</v>
      </c>
      <c r="F589" s="2" t="s">
        <v>192</v>
      </c>
      <c r="G589" s="2" t="s">
        <v>336</v>
      </c>
      <c r="H589" s="3">
        <v>44399</v>
      </c>
      <c r="I589" s="2" t="s">
        <v>62</v>
      </c>
      <c r="J589" s="2" t="s">
        <v>28</v>
      </c>
      <c r="K589" s="4">
        <v>2021</v>
      </c>
      <c r="L589" s="4">
        <v>1.48</v>
      </c>
      <c r="M589" s="4" t="s">
        <v>41</v>
      </c>
      <c r="N589" s="4" t="s">
        <v>165</v>
      </c>
      <c r="O589" s="4">
        <v>44.4</v>
      </c>
      <c r="P589" s="4">
        <v>5.3280000000000003</v>
      </c>
      <c r="Q589" s="12">
        <v>39.072000000000003</v>
      </c>
      <c r="R589" s="4" t="s">
        <v>857</v>
      </c>
      <c r="S589" s="4">
        <v>17.760000000000002</v>
      </c>
      <c r="T589" s="4">
        <v>21.312000000000001</v>
      </c>
    </row>
    <row r="590" spans="1:20" ht="15" thickBot="1" x14ac:dyDescent="0.35">
      <c r="A590" s="2" t="s">
        <v>49</v>
      </c>
      <c r="B590" s="2" t="s">
        <v>68</v>
      </c>
      <c r="C590" s="2" t="s">
        <v>69</v>
      </c>
      <c r="D590" s="2" t="s">
        <v>163</v>
      </c>
      <c r="E590" s="2" t="s">
        <v>71</v>
      </c>
      <c r="F590" s="2" t="s">
        <v>164</v>
      </c>
      <c r="G590" s="2" t="s">
        <v>336</v>
      </c>
      <c r="H590" s="3">
        <v>44233</v>
      </c>
      <c r="I590" s="2" t="s">
        <v>79</v>
      </c>
      <c r="J590" s="2" t="s">
        <v>40</v>
      </c>
      <c r="K590" s="4">
        <v>2021</v>
      </c>
      <c r="L590" s="4">
        <v>1.6739999999999999</v>
      </c>
      <c r="M590" s="4" t="s">
        <v>73</v>
      </c>
      <c r="N590" s="4" t="s">
        <v>54</v>
      </c>
      <c r="O590" s="4">
        <v>878.85</v>
      </c>
      <c r="P590" s="4">
        <v>105.462</v>
      </c>
      <c r="Q590" s="12">
        <v>773.38800000000003</v>
      </c>
      <c r="R590" s="4" t="s">
        <v>858</v>
      </c>
      <c r="S590" s="4">
        <v>247.75200000000001</v>
      </c>
      <c r="T590" s="4">
        <v>525.63599999999997</v>
      </c>
    </row>
    <row r="591" spans="1:20" ht="15" thickBot="1" x14ac:dyDescent="0.35">
      <c r="A591" s="2" t="s">
        <v>49</v>
      </c>
      <c r="B591" s="2" t="s">
        <v>21</v>
      </c>
      <c r="C591" s="2" t="s">
        <v>69</v>
      </c>
      <c r="D591" s="2" t="s">
        <v>194</v>
      </c>
      <c r="E591" s="2" t="s">
        <v>71</v>
      </c>
      <c r="F591" s="2" t="s">
        <v>195</v>
      </c>
      <c r="G591" s="2" t="s">
        <v>336</v>
      </c>
      <c r="H591" s="3">
        <v>44549</v>
      </c>
      <c r="I591" s="2" t="s">
        <v>100</v>
      </c>
      <c r="J591" s="2" t="s">
        <v>96</v>
      </c>
      <c r="K591" s="4">
        <v>2021</v>
      </c>
      <c r="L591" s="4">
        <v>1.1830000000000001</v>
      </c>
      <c r="M591" s="4" t="s">
        <v>73</v>
      </c>
      <c r="N591" s="4" t="s">
        <v>54</v>
      </c>
      <c r="O591" s="4">
        <v>621.07500000000005</v>
      </c>
      <c r="P591" s="4">
        <v>74.528999999999996</v>
      </c>
      <c r="Q591" s="12">
        <v>546.54600000000005</v>
      </c>
      <c r="R591" s="4" t="s">
        <v>859</v>
      </c>
      <c r="S591" s="4">
        <v>175.084</v>
      </c>
      <c r="T591" s="4">
        <v>371.46199999999999</v>
      </c>
    </row>
    <row r="592" spans="1:20" ht="15" thickBot="1" x14ac:dyDescent="0.35">
      <c r="A592" s="2" t="s">
        <v>49</v>
      </c>
      <c r="B592" s="2" t="s">
        <v>68</v>
      </c>
      <c r="C592" s="2" t="s">
        <v>69</v>
      </c>
      <c r="D592" s="2" t="s">
        <v>163</v>
      </c>
      <c r="E592" s="2" t="s">
        <v>71</v>
      </c>
      <c r="F592" s="2" t="s">
        <v>164</v>
      </c>
      <c r="G592" s="2" t="s">
        <v>336</v>
      </c>
      <c r="H592" s="3">
        <v>44495</v>
      </c>
      <c r="I592" s="2" t="s">
        <v>115</v>
      </c>
      <c r="J592" s="2" t="s">
        <v>96</v>
      </c>
      <c r="K592" s="4">
        <v>2021</v>
      </c>
      <c r="L592" s="4">
        <v>1.0860000000000001</v>
      </c>
      <c r="M592" s="4" t="s">
        <v>73</v>
      </c>
      <c r="N592" s="4" t="s">
        <v>165</v>
      </c>
      <c r="O592" s="4">
        <v>32.58</v>
      </c>
      <c r="P592" s="4">
        <v>3.91</v>
      </c>
      <c r="Q592" s="12">
        <v>28.67</v>
      </c>
      <c r="R592" s="4" t="s">
        <v>849</v>
      </c>
      <c r="S592" s="4">
        <v>160.72800000000001</v>
      </c>
      <c r="T592" s="4">
        <v>-132.05799999999999</v>
      </c>
    </row>
    <row r="593" spans="1:20" ht="29.4" thickBot="1" x14ac:dyDescent="0.35">
      <c r="A593" s="2" t="s">
        <v>58</v>
      </c>
      <c r="B593" s="2" t="s">
        <v>64</v>
      </c>
      <c r="C593" s="2" t="s">
        <v>75</v>
      </c>
      <c r="D593" s="2" t="s">
        <v>684</v>
      </c>
      <c r="E593" s="2" t="s">
        <v>77</v>
      </c>
      <c r="F593" s="2" t="s">
        <v>371</v>
      </c>
      <c r="G593" s="2" t="s">
        <v>336</v>
      </c>
      <c r="H593" s="3">
        <v>44200</v>
      </c>
      <c r="I593" s="2" t="s">
        <v>39</v>
      </c>
      <c r="J593" s="2" t="s">
        <v>40</v>
      </c>
      <c r="K593" s="4">
        <v>2021</v>
      </c>
      <c r="L593" s="4">
        <v>2.5310000000000001</v>
      </c>
      <c r="M593" s="4" t="s">
        <v>80</v>
      </c>
      <c r="N593" s="4" t="s">
        <v>63</v>
      </c>
      <c r="O593" s="4">
        <v>45.558</v>
      </c>
      <c r="P593" s="4">
        <v>5.4669999999999996</v>
      </c>
      <c r="Q593" s="12">
        <v>40.091000000000001</v>
      </c>
      <c r="R593" s="4" t="s">
        <v>860</v>
      </c>
      <c r="S593" s="4">
        <v>779.548</v>
      </c>
      <c r="T593" s="4">
        <v>-739.45699999999999</v>
      </c>
    </row>
    <row r="594" spans="1:20" ht="15" thickBot="1" x14ac:dyDescent="0.35">
      <c r="A594" s="2" t="s">
        <v>33</v>
      </c>
      <c r="B594" s="2" t="s">
        <v>68</v>
      </c>
      <c r="C594" s="2" t="s">
        <v>75</v>
      </c>
      <c r="D594" s="2" t="s">
        <v>347</v>
      </c>
      <c r="E594" s="2" t="s">
        <v>77</v>
      </c>
      <c r="F594" s="2" t="s">
        <v>230</v>
      </c>
      <c r="G594" s="2" t="s">
        <v>336</v>
      </c>
      <c r="H594" s="3">
        <v>44187</v>
      </c>
      <c r="I594" s="2" t="s">
        <v>100</v>
      </c>
      <c r="J594" s="2" t="s">
        <v>96</v>
      </c>
      <c r="K594" s="4">
        <v>2020</v>
      </c>
      <c r="L594" s="4">
        <v>4.649</v>
      </c>
      <c r="M594" s="4" t="s">
        <v>80</v>
      </c>
      <c r="N594" s="4" t="s">
        <v>42</v>
      </c>
      <c r="O594" s="4">
        <v>106.92700000000001</v>
      </c>
      <c r="P594" s="4">
        <v>12.831</v>
      </c>
      <c r="Q594" s="12">
        <v>94.096000000000004</v>
      </c>
      <c r="R594" s="4" t="s">
        <v>861</v>
      </c>
      <c r="S594" s="4" t="s">
        <v>862</v>
      </c>
      <c r="T594" s="4" t="s">
        <v>863</v>
      </c>
    </row>
    <row r="595" spans="1:20" ht="15" thickBot="1" x14ac:dyDescent="0.35">
      <c r="A595" s="2" t="s">
        <v>49</v>
      </c>
      <c r="B595" s="2" t="s">
        <v>21</v>
      </c>
      <c r="C595" s="2" t="s">
        <v>75</v>
      </c>
      <c r="D595" s="2" t="s">
        <v>168</v>
      </c>
      <c r="E595" s="2" t="s">
        <v>77</v>
      </c>
      <c r="F595" s="2" t="s">
        <v>169</v>
      </c>
      <c r="G595" s="2" t="s">
        <v>336</v>
      </c>
      <c r="H595" s="3">
        <v>44203</v>
      </c>
      <c r="I595" s="2" t="s">
        <v>39</v>
      </c>
      <c r="J595" s="2" t="s">
        <v>40</v>
      </c>
      <c r="K595" s="4">
        <v>2021</v>
      </c>
      <c r="L595" s="4">
        <v>1.1830000000000001</v>
      </c>
      <c r="M595" s="4" t="s">
        <v>80</v>
      </c>
      <c r="N595" s="4" t="s">
        <v>54</v>
      </c>
      <c r="O595" s="4">
        <v>621.07500000000005</v>
      </c>
      <c r="P595" s="4">
        <v>74.528999999999996</v>
      </c>
      <c r="Q595" s="12">
        <v>546.54600000000005</v>
      </c>
      <c r="R595" s="4" t="s">
        <v>859</v>
      </c>
      <c r="S595" s="4">
        <v>364.36399999999998</v>
      </c>
      <c r="T595" s="4">
        <v>182.18199999999999</v>
      </c>
    </row>
    <row r="596" spans="1:20" ht="15" thickBot="1" x14ac:dyDescent="0.35">
      <c r="A596" s="2" t="s">
        <v>20</v>
      </c>
      <c r="B596" s="2" t="s">
        <v>59</v>
      </c>
      <c r="C596" s="2" t="s">
        <v>75</v>
      </c>
      <c r="D596" s="2" t="s">
        <v>503</v>
      </c>
      <c r="E596" s="2" t="s">
        <v>77</v>
      </c>
      <c r="F596" s="2" t="s">
        <v>249</v>
      </c>
      <c r="G596" s="2" t="s">
        <v>336</v>
      </c>
      <c r="H596" s="3">
        <v>44552</v>
      </c>
      <c r="I596" s="2" t="s">
        <v>100</v>
      </c>
      <c r="J596" s="2" t="s">
        <v>96</v>
      </c>
      <c r="K596" s="4">
        <v>2021</v>
      </c>
      <c r="L596" s="4">
        <v>2.8639999999999999</v>
      </c>
      <c r="M596" s="4" t="s">
        <v>80</v>
      </c>
      <c r="N596" s="4" t="s">
        <v>30</v>
      </c>
      <c r="O596" s="4">
        <v>538.43200000000002</v>
      </c>
      <c r="P596" s="4">
        <v>64.611999999999995</v>
      </c>
      <c r="Q596" s="12">
        <v>473.82</v>
      </c>
      <c r="R596" s="4" t="s">
        <v>864</v>
      </c>
      <c r="S596" s="4">
        <v>882.11199999999997</v>
      </c>
      <c r="T596" s="4">
        <v>-408.29199999999997</v>
      </c>
    </row>
    <row r="597" spans="1:20" ht="15" thickBot="1" x14ac:dyDescent="0.35">
      <c r="A597" s="2" t="s">
        <v>49</v>
      </c>
      <c r="B597" s="2" t="s">
        <v>34</v>
      </c>
      <c r="C597" s="2" t="s">
        <v>75</v>
      </c>
      <c r="D597" s="2" t="s">
        <v>171</v>
      </c>
      <c r="E597" s="2" t="s">
        <v>77</v>
      </c>
      <c r="F597" s="2" t="s">
        <v>172</v>
      </c>
      <c r="G597" s="2" t="s">
        <v>336</v>
      </c>
      <c r="H597" s="3">
        <v>43938</v>
      </c>
      <c r="I597" s="2" t="s">
        <v>91</v>
      </c>
      <c r="J597" s="2" t="s">
        <v>92</v>
      </c>
      <c r="K597" s="4">
        <v>2020</v>
      </c>
      <c r="L597" s="4">
        <v>1.48</v>
      </c>
      <c r="M597" s="4" t="s">
        <v>80</v>
      </c>
      <c r="N597" s="4" t="s">
        <v>165</v>
      </c>
      <c r="O597" s="4">
        <v>44.4</v>
      </c>
      <c r="P597" s="4">
        <v>5.3280000000000003</v>
      </c>
      <c r="Q597" s="12">
        <v>39.072000000000003</v>
      </c>
      <c r="R597" s="4" t="s">
        <v>857</v>
      </c>
      <c r="S597" s="4">
        <v>455.84</v>
      </c>
      <c r="T597" s="4">
        <v>-416.76799999999997</v>
      </c>
    </row>
    <row r="598" spans="1:20" ht="29.4" thickBot="1" x14ac:dyDescent="0.35">
      <c r="A598" s="2" t="s">
        <v>49</v>
      </c>
      <c r="B598" s="2" t="s">
        <v>74</v>
      </c>
      <c r="C598" s="2" t="s">
        <v>120</v>
      </c>
      <c r="D598" s="2" t="s">
        <v>270</v>
      </c>
      <c r="E598" s="2" t="s">
        <v>122</v>
      </c>
      <c r="F598" s="2" t="s">
        <v>271</v>
      </c>
      <c r="G598" s="2" t="s">
        <v>336</v>
      </c>
      <c r="H598" s="3">
        <v>43857</v>
      </c>
      <c r="I598" s="2" t="s">
        <v>39</v>
      </c>
      <c r="J598" s="2" t="s">
        <v>40</v>
      </c>
      <c r="K598" s="4">
        <v>2020</v>
      </c>
      <c r="L598" s="4">
        <v>324</v>
      </c>
      <c r="M598" s="4" t="s">
        <v>124</v>
      </c>
      <c r="N598" s="4" t="s">
        <v>54</v>
      </c>
      <c r="O598" s="4">
        <v>170.1</v>
      </c>
      <c r="P598" s="4">
        <v>20.411999999999999</v>
      </c>
      <c r="Q598" s="12">
        <v>149.68799999999999</v>
      </c>
      <c r="R598" s="4" t="s">
        <v>865</v>
      </c>
      <c r="S598" s="4">
        <v>103.68</v>
      </c>
      <c r="T598" s="4">
        <v>46.008000000000003</v>
      </c>
    </row>
    <row r="599" spans="1:20" ht="15" thickBot="1" x14ac:dyDescent="0.35">
      <c r="A599" s="2" t="s">
        <v>49</v>
      </c>
      <c r="B599" s="2" t="s">
        <v>21</v>
      </c>
      <c r="C599" s="2" t="s">
        <v>120</v>
      </c>
      <c r="D599" s="2" t="s">
        <v>272</v>
      </c>
      <c r="E599" s="2" t="s">
        <v>122</v>
      </c>
      <c r="F599" s="2" t="s">
        <v>273</v>
      </c>
      <c r="G599" s="2" t="s">
        <v>336</v>
      </c>
      <c r="H599" s="3">
        <v>44209</v>
      </c>
      <c r="I599" s="2" t="s">
        <v>39</v>
      </c>
      <c r="J599" s="2" t="s">
        <v>40</v>
      </c>
      <c r="K599" s="4">
        <v>2021</v>
      </c>
      <c r="L599" s="4">
        <v>4.1059999999999999</v>
      </c>
      <c r="M599" s="4" t="s">
        <v>124</v>
      </c>
      <c r="N599" s="4" t="s">
        <v>116</v>
      </c>
      <c r="O599" s="4">
        <v>45.165999999999997</v>
      </c>
      <c r="P599" s="4">
        <v>5.42</v>
      </c>
      <c r="Q599" s="12">
        <v>39.746000000000002</v>
      </c>
      <c r="R599" s="6">
        <v>45890</v>
      </c>
      <c r="S599" s="4" t="s">
        <v>866</v>
      </c>
      <c r="T599" s="4" t="s">
        <v>867</v>
      </c>
    </row>
    <row r="600" spans="1:20" ht="15" thickBot="1" x14ac:dyDescent="0.35">
      <c r="A600" s="2" t="s">
        <v>49</v>
      </c>
      <c r="B600" s="2" t="s">
        <v>68</v>
      </c>
      <c r="C600" s="2" t="s">
        <v>120</v>
      </c>
      <c r="D600" s="2" t="s">
        <v>212</v>
      </c>
      <c r="E600" s="2" t="s">
        <v>122</v>
      </c>
      <c r="F600" s="2" t="s">
        <v>213</v>
      </c>
      <c r="G600" s="2" t="s">
        <v>336</v>
      </c>
      <c r="H600" s="3">
        <v>44299</v>
      </c>
      <c r="I600" s="2" t="s">
        <v>91</v>
      </c>
      <c r="J600" s="2" t="s">
        <v>92</v>
      </c>
      <c r="K600" s="4">
        <v>2021</v>
      </c>
      <c r="L600" s="4">
        <v>3.2810000000000001</v>
      </c>
      <c r="M600" s="4" t="s">
        <v>124</v>
      </c>
      <c r="N600" s="4" t="s">
        <v>116</v>
      </c>
      <c r="O600" s="4">
        <v>36.091000000000001</v>
      </c>
      <c r="P600" s="4">
        <v>4.3310000000000004</v>
      </c>
      <c r="Q600" s="12">
        <v>31.76</v>
      </c>
      <c r="R600" s="4" t="s">
        <v>844</v>
      </c>
      <c r="S600" s="4" t="s">
        <v>868</v>
      </c>
      <c r="T600" s="4" t="s">
        <v>869</v>
      </c>
    </row>
    <row r="601" spans="1:20" ht="15" thickBot="1" x14ac:dyDescent="0.35">
      <c r="A601" s="2" t="s">
        <v>49</v>
      </c>
      <c r="B601" s="2" t="s">
        <v>59</v>
      </c>
      <c r="C601" s="2" t="s">
        <v>82</v>
      </c>
      <c r="D601" s="2" t="s">
        <v>131</v>
      </c>
      <c r="E601" s="2" t="s">
        <v>84</v>
      </c>
      <c r="F601" s="2" t="s">
        <v>132</v>
      </c>
      <c r="G601" s="2" t="s">
        <v>336</v>
      </c>
      <c r="H601" s="3">
        <v>44419</v>
      </c>
      <c r="I601" s="2" t="s">
        <v>53</v>
      </c>
      <c r="J601" s="2" t="s">
        <v>28</v>
      </c>
      <c r="K601" s="4">
        <v>2021</v>
      </c>
      <c r="L601" s="4">
        <v>3.0259999999999998</v>
      </c>
      <c r="M601" s="4" t="s">
        <v>87</v>
      </c>
      <c r="N601" s="4" t="s">
        <v>165</v>
      </c>
      <c r="O601" s="4">
        <v>90.78</v>
      </c>
      <c r="P601" s="4">
        <v>10.894</v>
      </c>
      <c r="Q601" s="12">
        <v>79.885999999999996</v>
      </c>
      <c r="R601" s="4" t="s">
        <v>870</v>
      </c>
      <c r="S601" s="4">
        <v>12.103999999999999</v>
      </c>
      <c r="T601" s="4">
        <v>67.781999999999996</v>
      </c>
    </row>
    <row r="602" spans="1:20" ht="29.4" thickBot="1" x14ac:dyDescent="0.35">
      <c r="A602" s="2" t="s">
        <v>58</v>
      </c>
      <c r="B602" s="2" t="s">
        <v>74</v>
      </c>
      <c r="C602" s="2" t="s">
        <v>22</v>
      </c>
      <c r="D602" s="2" t="s">
        <v>516</v>
      </c>
      <c r="E602" s="2" t="s">
        <v>24</v>
      </c>
      <c r="F602" s="2" t="s">
        <v>294</v>
      </c>
      <c r="G602" s="2" t="s">
        <v>336</v>
      </c>
      <c r="H602" s="3">
        <v>44024</v>
      </c>
      <c r="I602" s="2" t="s">
        <v>62</v>
      </c>
      <c r="J602" s="2" t="s">
        <v>28</v>
      </c>
      <c r="K602" s="4">
        <v>2020</v>
      </c>
      <c r="L602" s="4">
        <v>3.1930000000000001</v>
      </c>
      <c r="M602" s="4" t="s">
        <v>29</v>
      </c>
      <c r="N602" s="4" t="s">
        <v>63</v>
      </c>
      <c r="O602" s="4">
        <v>57.473999999999997</v>
      </c>
      <c r="P602" s="4">
        <v>6.8970000000000002</v>
      </c>
      <c r="Q602" s="12">
        <v>50.576999999999998</v>
      </c>
      <c r="R602" s="6">
        <v>45958</v>
      </c>
      <c r="S602" s="4">
        <v>19.158000000000001</v>
      </c>
      <c r="T602" s="4">
        <v>31.419</v>
      </c>
    </row>
    <row r="603" spans="1:20" ht="15" thickBot="1" x14ac:dyDescent="0.35">
      <c r="A603" s="2" t="s">
        <v>49</v>
      </c>
      <c r="B603" s="2" t="s">
        <v>74</v>
      </c>
      <c r="C603" s="2" t="s">
        <v>35</v>
      </c>
      <c r="D603" s="2" t="s">
        <v>293</v>
      </c>
      <c r="E603" s="2" t="s">
        <v>37</v>
      </c>
      <c r="F603" s="2" t="s">
        <v>294</v>
      </c>
      <c r="G603" s="2" t="s">
        <v>336</v>
      </c>
      <c r="H603" s="3">
        <v>43970</v>
      </c>
      <c r="I603" s="2" t="s">
        <v>142</v>
      </c>
      <c r="J603" s="2" t="s">
        <v>92</v>
      </c>
      <c r="K603" s="4">
        <v>2020</v>
      </c>
      <c r="L603" s="4">
        <v>1.837</v>
      </c>
      <c r="M603" s="4" t="s">
        <v>41</v>
      </c>
      <c r="N603" s="4" t="s">
        <v>165</v>
      </c>
      <c r="O603" s="4">
        <v>55.11</v>
      </c>
      <c r="P603" s="4">
        <v>6.6130000000000004</v>
      </c>
      <c r="Q603" s="12">
        <v>48.497</v>
      </c>
      <c r="R603" s="4" t="s">
        <v>871</v>
      </c>
      <c r="S603" s="4">
        <v>22.044</v>
      </c>
      <c r="T603" s="4">
        <v>26.452999999999999</v>
      </c>
    </row>
    <row r="604" spans="1:20" ht="15" thickBot="1" x14ac:dyDescent="0.35">
      <c r="A604" s="2" t="s">
        <v>49</v>
      </c>
      <c r="B604" s="2" t="s">
        <v>74</v>
      </c>
      <c r="C604" s="2" t="s">
        <v>75</v>
      </c>
      <c r="D604" s="2" t="s">
        <v>76</v>
      </c>
      <c r="E604" s="2" t="s">
        <v>77</v>
      </c>
      <c r="F604" s="2" t="s">
        <v>78</v>
      </c>
      <c r="G604" s="2" t="s">
        <v>336</v>
      </c>
      <c r="H604" s="3">
        <v>43913</v>
      </c>
      <c r="I604" s="2" t="s">
        <v>112</v>
      </c>
      <c r="J604" s="2" t="s">
        <v>40</v>
      </c>
      <c r="K604" s="4">
        <v>2020</v>
      </c>
      <c r="L604" s="4">
        <v>1.7889999999999999</v>
      </c>
      <c r="M604" s="4" t="s">
        <v>80</v>
      </c>
      <c r="N604" s="4" t="s">
        <v>116</v>
      </c>
      <c r="O604" s="4">
        <v>19.678999999999998</v>
      </c>
      <c r="P604" s="4">
        <v>2.3610000000000002</v>
      </c>
      <c r="Q604" s="12">
        <v>17.318000000000001</v>
      </c>
      <c r="R604" s="5">
        <v>43344</v>
      </c>
      <c r="S604" s="4">
        <v>551.01199999999994</v>
      </c>
      <c r="T604" s="4">
        <v>-533.69399999999996</v>
      </c>
    </row>
    <row r="605" spans="1:20" ht="15" thickBot="1" x14ac:dyDescent="0.35">
      <c r="A605" s="2" t="s">
        <v>49</v>
      </c>
      <c r="B605" s="2" t="s">
        <v>74</v>
      </c>
      <c r="C605" s="2" t="s">
        <v>75</v>
      </c>
      <c r="D605" s="2" t="s">
        <v>244</v>
      </c>
      <c r="E605" s="2" t="s">
        <v>77</v>
      </c>
      <c r="F605" s="2" t="s">
        <v>245</v>
      </c>
      <c r="G605" s="2" t="s">
        <v>336</v>
      </c>
      <c r="H605" s="3">
        <v>44090</v>
      </c>
      <c r="I605" s="2" t="s">
        <v>27</v>
      </c>
      <c r="J605" s="2" t="s">
        <v>28</v>
      </c>
      <c r="K605" s="4">
        <v>2020</v>
      </c>
      <c r="L605" s="4">
        <v>1.837</v>
      </c>
      <c r="M605" s="4" t="s">
        <v>80</v>
      </c>
      <c r="N605" s="4" t="s">
        <v>165</v>
      </c>
      <c r="O605" s="4">
        <v>55.11</v>
      </c>
      <c r="P605" s="4">
        <v>6.6130000000000004</v>
      </c>
      <c r="Q605" s="12">
        <v>48.497</v>
      </c>
      <c r="R605" s="4" t="s">
        <v>871</v>
      </c>
      <c r="S605" s="4">
        <v>565.79600000000005</v>
      </c>
      <c r="T605" s="4">
        <v>-517.29899999999998</v>
      </c>
    </row>
    <row r="606" spans="1:20" ht="15" thickBot="1" x14ac:dyDescent="0.35">
      <c r="A606" s="2" t="s">
        <v>33</v>
      </c>
      <c r="B606" s="2" t="s">
        <v>74</v>
      </c>
      <c r="C606" s="2" t="s">
        <v>82</v>
      </c>
      <c r="D606" s="2" t="s">
        <v>642</v>
      </c>
      <c r="E606" s="2" t="s">
        <v>84</v>
      </c>
      <c r="F606" s="2" t="s">
        <v>352</v>
      </c>
      <c r="G606" s="2" t="s">
        <v>336</v>
      </c>
      <c r="H606" s="3">
        <v>44169</v>
      </c>
      <c r="I606" s="2" t="s">
        <v>100</v>
      </c>
      <c r="J606" s="2" t="s">
        <v>96</v>
      </c>
      <c r="K606" s="4">
        <v>2020</v>
      </c>
      <c r="L606" s="4">
        <v>3.08</v>
      </c>
      <c r="M606" s="4" t="s">
        <v>87</v>
      </c>
      <c r="N606" s="4" t="s">
        <v>42</v>
      </c>
      <c r="O606" s="4">
        <v>70.84</v>
      </c>
      <c r="P606" s="4">
        <v>9.2089999999999996</v>
      </c>
      <c r="Q606" s="12">
        <v>61.631</v>
      </c>
      <c r="R606" s="4" t="s">
        <v>872</v>
      </c>
      <c r="S606" s="4">
        <v>12.32</v>
      </c>
      <c r="T606" s="4">
        <v>49.311</v>
      </c>
    </row>
    <row r="607" spans="1:20" ht="15" thickBot="1" x14ac:dyDescent="0.35">
      <c r="A607" s="2" t="s">
        <v>33</v>
      </c>
      <c r="B607" s="2" t="s">
        <v>44</v>
      </c>
      <c r="C607" s="2" t="s">
        <v>75</v>
      </c>
      <c r="D607" s="2" t="s">
        <v>660</v>
      </c>
      <c r="E607" s="2" t="s">
        <v>77</v>
      </c>
      <c r="F607" s="2" t="s">
        <v>362</v>
      </c>
      <c r="G607" s="2" t="s">
        <v>336</v>
      </c>
      <c r="H607" s="3">
        <v>44003</v>
      </c>
      <c r="I607" s="2" t="s">
        <v>205</v>
      </c>
      <c r="J607" s="2" t="s">
        <v>92</v>
      </c>
      <c r="K607" s="4">
        <v>2020</v>
      </c>
      <c r="L607" s="4">
        <v>3.08</v>
      </c>
      <c r="M607" s="4" t="s">
        <v>80</v>
      </c>
      <c r="N607" s="4" t="s">
        <v>42</v>
      </c>
      <c r="O607" s="4">
        <v>70.84</v>
      </c>
      <c r="P607" s="4">
        <v>9.2089999999999996</v>
      </c>
      <c r="Q607" s="12">
        <v>61.631</v>
      </c>
      <c r="R607" s="4" t="s">
        <v>872</v>
      </c>
      <c r="S607" s="4">
        <v>948.64</v>
      </c>
      <c r="T607" s="4">
        <v>-887.00900000000001</v>
      </c>
    </row>
    <row r="608" spans="1:20" ht="15" thickBot="1" x14ac:dyDescent="0.35">
      <c r="A608" s="2" t="s">
        <v>49</v>
      </c>
      <c r="B608" s="2" t="s">
        <v>34</v>
      </c>
      <c r="C608" s="2" t="s">
        <v>82</v>
      </c>
      <c r="D608" s="2" t="s">
        <v>197</v>
      </c>
      <c r="E608" s="2" t="s">
        <v>84</v>
      </c>
      <c r="F608" s="2" t="s">
        <v>198</v>
      </c>
      <c r="G608" s="2" t="s">
        <v>336</v>
      </c>
      <c r="H608" s="3">
        <v>44294</v>
      </c>
      <c r="I608" s="2" t="s">
        <v>91</v>
      </c>
      <c r="J608" s="2" t="s">
        <v>92</v>
      </c>
      <c r="K608" s="4">
        <v>2021</v>
      </c>
      <c r="L608" s="4">
        <v>1.1080000000000001</v>
      </c>
      <c r="M608" s="4" t="s">
        <v>87</v>
      </c>
      <c r="N608" s="4" t="s">
        <v>54</v>
      </c>
      <c r="O608" s="4">
        <v>581.70000000000005</v>
      </c>
      <c r="P608" s="4">
        <v>75.620999999999995</v>
      </c>
      <c r="Q608" s="12">
        <v>506.07900000000001</v>
      </c>
      <c r="R608" s="4" t="s">
        <v>873</v>
      </c>
      <c r="S608" s="4">
        <v>4.4320000000000004</v>
      </c>
      <c r="T608" s="4">
        <v>501.64699999999999</v>
      </c>
    </row>
    <row r="609" spans="1:20" ht="15" thickBot="1" x14ac:dyDescent="0.35">
      <c r="A609" s="2" t="s">
        <v>49</v>
      </c>
      <c r="B609" s="2" t="s">
        <v>59</v>
      </c>
      <c r="C609" s="2" t="s">
        <v>82</v>
      </c>
      <c r="D609" s="2" t="s">
        <v>131</v>
      </c>
      <c r="E609" s="2" t="s">
        <v>84</v>
      </c>
      <c r="F609" s="2" t="s">
        <v>132</v>
      </c>
      <c r="G609" s="2" t="s">
        <v>336</v>
      </c>
      <c r="H609" s="3">
        <v>44039</v>
      </c>
      <c r="I609" s="2" t="s">
        <v>62</v>
      </c>
      <c r="J609" s="2" t="s">
        <v>28</v>
      </c>
      <c r="K609" s="4">
        <v>2020</v>
      </c>
      <c r="L609" s="4">
        <v>2.1480000000000001</v>
      </c>
      <c r="M609" s="4" t="s">
        <v>87</v>
      </c>
      <c r="N609" s="4" t="s">
        <v>54</v>
      </c>
      <c r="O609" s="4" t="s">
        <v>874</v>
      </c>
      <c r="P609" s="4">
        <v>146.601</v>
      </c>
      <c r="Q609" s="12">
        <v>981.09900000000005</v>
      </c>
      <c r="R609" s="4" t="s">
        <v>875</v>
      </c>
      <c r="S609" s="4">
        <v>8.5920000000000005</v>
      </c>
      <c r="T609" s="4">
        <v>972.50699999999995</v>
      </c>
    </row>
    <row r="610" spans="1:20" ht="15" thickBot="1" x14ac:dyDescent="0.35">
      <c r="A610" s="2" t="s">
        <v>49</v>
      </c>
      <c r="B610" s="2" t="s">
        <v>44</v>
      </c>
      <c r="C610" s="2" t="s">
        <v>22</v>
      </c>
      <c r="D610" s="2" t="s">
        <v>391</v>
      </c>
      <c r="E610" s="2" t="s">
        <v>24</v>
      </c>
      <c r="F610" s="2" t="s">
        <v>310</v>
      </c>
      <c r="G610" s="2" t="s">
        <v>336</v>
      </c>
      <c r="H610" s="3">
        <v>44524</v>
      </c>
      <c r="I610" s="2" t="s">
        <v>95</v>
      </c>
      <c r="J610" s="2" t="s">
        <v>96</v>
      </c>
      <c r="K610" s="4">
        <v>2021</v>
      </c>
      <c r="L610" s="4">
        <v>1.179</v>
      </c>
      <c r="M610" s="4" t="s">
        <v>29</v>
      </c>
      <c r="N610" s="4" t="s">
        <v>54</v>
      </c>
      <c r="O610" s="4">
        <v>618.97500000000002</v>
      </c>
      <c r="P610" s="4">
        <v>80.466999999999999</v>
      </c>
      <c r="Q610" s="12">
        <v>538.50800000000004</v>
      </c>
      <c r="R610" s="4" t="s">
        <v>876</v>
      </c>
      <c r="S610" s="4">
        <v>7.0739999999999998</v>
      </c>
      <c r="T610" s="4">
        <v>531.43399999999997</v>
      </c>
    </row>
    <row r="611" spans="1:20" ht="15" thickBot="1" x14ac:dyDescent="0.35">
      <c r="A611" s="2" t="s">
        <v>49</v>
      </c>
      <c r="B611" s="2" t="s">
        <v>44</v>
      </c>
      <c r="C611" s="2" t="s">
        <v>22</v>
      </c>
      <c r="D611" s="2" t="s">
        <v>391</v>
      </c>
      <c r="E611" s="2" t="s">
        <v>24</v>
      </c>
      <c r="F611" s="2" t="s">
        <v>310</v>
      </c>
      <c r="G611" s="2" t="s">
        <v>336</v>
      </c>
      <c r="H611" s="3">
        <v>44337</v>
      </c>
      <c r="I611" s="2" t="s">
        <v>142</v>
      </c>
      <c r="J611" s="2" t="s">
        <v>92</v>
      </c>
      <c r="K611" s="4">
        <v>2021</v>
      </c>
      <c r="L611" s="4">
        <v>1.5580000000000001</v>
      </c>
      <c r="M611" s="4" t="s">
        <v>29</v>
      </c>
      <c r="N611" s="4" t="s">
        <v>116</v>
      </c>
      <c r="O611" s="4">
        <v>17.138000000000002</v>
      </c>
      <c r="P611" s="4">
        <v>2.2280000000000002</v>
      </c>
      <c r="Q611" s="12">
        <v>14.91</v>
      </c>
      <c r="R611" s="5">
        <v>33055</v>
      </c>
      <c r="S611" s="4">
        <v>9.3480000000000008</v>
      </c>
      <c r="T611" s="4">
        <v>5.5620000000000003</v>
      </c>
    </row>
    <row r="612" spans="1:20" ht="29.4" thickBot="1" x14ac:dyDescent="0.35">
      <c r="A612" s="2" t="s">
        <v>58</v>
      </c>
      <c r="B612" s="2" t="s">
        <v>74</v>
      </c>
      <c r="C612" s="2" t="s">
        <v>22</v>
      </c>
      <c r="D612" s="2" t="s">
        <v>516</v>
      </c>
      <c r="E612" s="2" t="s">
        <v>24</v>
      </c>
      <c r="F612" s="2" t="s">
        <v>294</v>
      </c>
      <c r="G612" s="2" t="s">
        <v>336</v>
      </c>
      <c r="H612" s="3">
        <v>44022</v>
      </c>
      <c r="I612" s="2" t="s">
        <v>62</v>
      </c>
      <c r="J612" s="2" t="s">
        <v>28</v>
      </c>
      <c r="K612" s="4">
        <v>2020</v>
      </c>
      <c r="L612" s="4">
        <v>725</v>
      </c>
      <c r="M612" s="4" t="s">
        <v>29</v>
      </c>
      <c r="N612" s="4" t="s">
        <v>63</v>
      </c>
      <c r="O612" s="4">
        <v>13.05</v>
      </c>
      <c r="P612" s="4">
        <v>1.6970000000000001</v>
      </c>
      <c r="Q612" s="12">
        <v>11.353999999999999</v>
      </c>
      <c r="R612" s="5">
        <v>11475</v>
      </c>
      <c r="S612" s="4">
        <v>4.3499999999999996</v>
      </c>
      <c r="T612" s="4">
        <v>7.0039999999999996</v>
      </c>
    </row>
    <row r="613" spans="1:20" ht="15" thickBot="1" x14ac:dyDescent="0.35">
      <c r="A613" s="2" t="s">
        <v>49</v>
      </c>
      <c r="B613" s="2" t="s">
        <v>21</v>
      </c>
      <c r="C613" s="2" t="s">
        <v>22</v>
      </c>
      <c r="D613" s="2" t="s">
        <v>221</v>
      </c>
      <c r="E613" s="2" t="s">
        <v>24</v>
      </c>
      <c r="F613" s="2" t="s">
        <v>222</v>
      </c>
      <c r="G613" s="2" t="s">
        <v>336</v>
      </c>
      <c r="H613" s="3">
        <v>44276</v>
      </c>
      <c r="I613" s="2" t="s">
        <v>112</v>
      </c>
      <c r="J613" s="2" t="s">
        <v>40</v>
      </c>
      <c r="K613" s="4">
        <v>2021</v>
      </c>
      <c r="L613" s="4">
        <v>2.706</v>
      </c>
      <c r="M613" s="4" t="s">
        <v>29</v>
      </c>
      <c r="N613" s="4" t="s">
        <v>165</v>
      </c>
      <c r="O613" s="4">
        <v>81.180000000000007</v>
      </c>
      <c r="P613" s="4">
        <v>10.553000000000001</v>
      </c>
      <c r="Q613" s="12">
        <v>70.626999999999995</v>
      </c>
      <c r="R613" s="4" t="s">
        <v>877</v>
      </c>
      <c r="S613" s="4">
        <v>16.236000000000001</v>
      </c>
      <c r="T613" s="4">
        <v>54.390999999999998</v>
      </c>
    </row>
    <row r="614" spans="1:20" ht="15" thickBot="1" x14ac:dyDescent="0.35">
      <c r="A614" s="2" t="s">
        <v>49</v>
      </c>
      <c r="B614" s="2" t="s">
        <v>44</v>
      </c>
      <c r="C614" s="2" t="s">
        <v>22</v>
      </c>
      <c r="D614" s="2" t="s">
        <v>200</v>
      </c>
      <c r="E614" s="2" t="s">
        <v>24</v>
      </c>
      <c r="F614" s="2" t="s">
        <v>201</v>
      </c>
      <c r="G614" s="2" t="s">
        <v>336</v>
      </c>
      <c r="H614" s="3">
        <v>43937</v>
      </c>
      <c r="I614" s="2" t="s">
        <v>91</v>
      </c>
      <c r="J614" s="2" t="s">
        <v>92</v>
      </c>
      <c r="K614" s="4">
        <v>2020</v>
      </c>
      <c r="L614" s="4">
        <v>1.4990000000000001</v>
      </c>
      <c r="M614" s="4" t="s">
        <v>29</v>
      </c>
      <c r="N614" s="4" t="s">
        <v>165</v>
      </c>
      <c r="O614" s="4">
        <v>44.97</v>
      </c>
      <c r="P614" s="4">
        <v>5.8460000000000001</v>
      </c>
      <c r="Q614" s="12">
        <v>39.124000000000002</v>
      </c>
      <c r="R614" s="4" t="s">
        <v>878</v>
      </c>
      <c r="S614" s="4">
        <v>8.9939999999999998</v>
      </c>
      <c r="T614" s="4">
        <v>30.13</v>
      </c>
    </row>
    <row r="615" spans="1:20" ht="15" thickBot="1" x14ac:dyDescent="0.35">
      <c r="A615" s="2" t="s">
        <v>49</v>
      </c>
      <c r="B615" s="2" t="s">
        <v>44</v>
      </c>
      <c r="C615" s="2" t="s">
        <v>35</v>
      </c>
      <c r="D615" s="2" t="s">
        <v>150</v>
      </c>
      <c r="E615" s="2" t="s">
        <v>37</v>
      </c>
      <c r="F615" s="2" t="s">
        <v>151</v>
      </c>
      <c r="G615" s="2" t="s">
        <v>336</v>
      </c>
      <c r="H615" s="3">
        <v>44101</v>
      </c>
      <c r="I615" s="2" t="s">
        <v>27</v>
      </c>
      <c r="J615" s="2" t="s">
        <v>28</v>
      </c>
      <c r="K615" s="4">
        <v>2020</v>
      </c>
      <c r="L615" s="4">
        <v>1.726</v>
      </c>
      <c r="M615" s="4" t="s">
        <v>41</v>
      </c>
      <c r="N615" s="4" t="s">
        <v>116</v>
      </c>
      <c r="O615" s="4">
        <v>18.986000000000001</v>
      </c>
      <c r="P615" s="4">
        <v>2.468</v>
      </c>
      <c r="Q615" s="12">
        <v>16.518000000000001</v>
      </c>
      <c r="R615" s="5">
        <v>27973</v>
      </c>
      <c r="S615" s="4">
        <v>20.712</v>
      </c>
      <c r="T615" s="4">
        <v>-4.194</v>
      </c>
    </row>
    <row r="616" spans="1:20" ht="29.4" thickBot="1" x14ac:dyDescent="0.35">
      <c r="A616" s="2" t="s">
        <v>43</v>
      </c>
      <c r="B616" s="2" t="s">
        <v>59</v>
      </c>
      <c r="C616" s="2" t="s">
        <v>35</v>
      </c>
      <c r="D616" s="2" t="s">
        <v>285</v>
      </c>
      <c r="E616" s="2" t="s">
        <v>37</v>
      </c>
      <c r="F616" s="2" t="s">
        <v>249</v>
      </c>
      <c r="G616" s="2" t="s">
        <v>336</v>
      </c>
      <c r="H616" s="3">
        <v>44370</v>
      </c>
      <c r="I616" s="2" t="s">
        <v>205</v>
      </c>
      <c r="J616" s="2" t="s">
        <v>92</v>
      </c>
      <c r="K616" s="4">
        <v>2021</v>
      </c>
      <c r="L616" s="4">
        <v>968</v>
      </c>
      <c r="M616" s="4" t="s">
        <v>41</v>
      </c>
      <c r="N616" s="4" t="s">
        <v>47</v>
      </c>
      <c r="O616" s="4">
        <v>435.6</v>
      </c>
      <c r="P616" s="4">
        <v>56.628</v>
      </c>
      <c r="Q616" s="12">
        <v>378.97199999999998</v>
      </c>
      <c r="R616" s="4" t="s">
        <v>879</v>
      </c>
      <c r="S616" s="4">
        <v>11.616</v>
      </c>
      <c r="T616" s="4">
        <v>367.35599999999999</v>
      </c>
    </row>
    <row r="617" spans="1:20" ht="15" thickBot="1" x14ac:dyDescent="0.35">
      <c r="A617" s="2" t="s">
        <v>49</v>
      </c>
      <c r="B617" s="2" t="s">
        <v>44</v>
      </c>
      <c r="C617" s="2" t="s">
        <v>35</v>
      </c>
      <c r="D617" s="2" t="s">
        <v>150</v>
      </c>
      <c r="E617" s="2" t="s">
        <v>37</v>
      </c>
      <c r="F617" s="2" t="s">
        <v>151</v>
      </c>
      <c r="G617" s="2" t="s">
        <v>336</v>
      </c>
      <c r="H617" s="3">
        <v>44218</v>
      </c>
      <c r="I617" s="2" t="s">
        <v>39</v>
      </c>
      <c r="J617" s="2" t="s">
        <v>40</v>
      </c>
      <c r="K617" s="4">
        <v>2021</v>
      </c>
      <c r="L617" s="4">
        <v>3.169</v>
      </c>
      <c r="M617" s="4" t="s">
        <v>41</v>
      </c>
      <c r="N617" s="4" t="s">
        <v>165</v>
      </c>
      <c r="O617" s="4">
        <v>95.07</v>
      </c>
      <c r="P617" s="4">
        <v>12.359</v>
      </c>
      <c r="Q617" s="12">
        <v>82.710999999999999</v>
      </c>
      <c r="R617" s="4" t="s">
        <v>880</v>
      </c>
      <c r="S617" s="4">
        <v>38.027999999999999</v>
      </c>
      <c r="T617" s="4">
        <v>44.683</v>
      </c>
    </row>
    <row r="618" spans="1:20" ht="15" thickBot="1" x14ac:dyDescent="0.35">
      <c r="A618" s="2" t="s">
        <v>49</v>
      </c>
      <c r="B618" s="2" t="s">
        <v>74</v>
      </c>
      <c r="C618" s="2" t="s">
        <v>35</v>
      </c>
      <c r="D618" s="2" t="s">
        <v>293</v>
      </c>
      <c r="E618" s="2" t="s">
        <v>37</v>
      </c>
      <c r="F618" s="2" t="s">
        <v>294</v>
      </c>
      <c r="G618" s="2" t="s">
        <v>336</v>
      </c>
      <c r="H618" s="3">
        <v>44496</v>
      </c>
      <c r="I618" s="2" t="s">
        <v>115</v>
      </c>
      <c r="J618" s="2" t="s">
        <v>96</v>
      </c>
      <c r="K618" s="4">
        <v>2021</v>
      </c>
      <c r="L618" s="4">
        <v>3.25</v>
      </c>
      <c r="M618" s="4" t="s">
        <v>41</v>
      </c>
      <c r="N618" s="4" t="s">
        <v>165</v>
      </c>
      <c r="O618" s="4">
        <v>97.5</v>
      </c>
      <c r="P618" s="4">
        <v>12.675000000000001</v>
      </c>
      <c r="Q618" s="12">
        <v>84.825000000000003</v>
      </c>
      <c r="R618" s="4" t="s">
        <v>881</v>
      </c>
      <c r="S618" s="4">
        <v>39</v>
      </c>
      <c r="T618" s="4">
        <v>45.825000000000003</v>
      </c>
    </row>
    <row r="619" spans="1:20" ht="15" thickBot="1" x14ac:dyDescent="0.35">
      <c r="A619" s="2" t="s">
        <v>49</v>
      </c>
      <c r="B619" s="2" t="s">
        <v>50</v>
      </c>
      <c r="C619" s="2" t="s">
        <v>35</v>
      </c>
      <c r="D619" s="2" t="s">
        <v>51</v>
      </c>
      <c r="E619" s="2" t="s">
        <v>37</v>
      </c>
      <c r="F619" s="2" t="s">
        <v>52</v>
      </c>
      <c r="G619" s="2" t="s">
        <v>336</v>
      </c>
      <c r="H619" s="3">
        <v>44156</v>
      </c>
      <c r="I619" s="2" t="s">
        <v>95</v>
      </c>
      <c r="J619" s="2" t="s">
        <v>96</v>
      </c>
      <c r="K619" s="4">
        <v>2020</v>
      </c>
      <c r="L619" s="4">
        <v>3.1579999999999999</v>
      </c>
      <c r="M619" s="4" t="s">
        <v>41</v>
      </c>
      <c r="N619" s="4" t="s">
        <v>54</v>
      </c>
      <c r="O619" s="4" t="s">
        <v>882</v>
      </c>
      <c r="P619" s="4">
        <v>215.53399999999999</v>
      </c>
      <c r="Q619" s="12" t="s">
        <v>883</v>
      </c>
      <c r="R619" s="4" t="s">
        <v>884</v>
      </c>
      <c r="S619" s="4">
        <v>37.896000000000001</v>
      </c>
      <c r="T619" s="4" t="s">
        <v>885</v>
      </c>
    </row>
    <row r="620" spans="1:20" ht="15" thickBot="1" x14ac:dyDescent="0.35">
      <c r="A620" s="2" t="s">
        <v>20</v>
      </c>
      <c r="B620" s="2" t="s">
        <v>34</v>
      </c>
      <c r="C620" s="2" t="s">
        <v>35</v>
      </c>
      <c r="D620" s="2" t="s">
        <v>526</v>
      </c>
      <c r="E620" s="2" t="s">
        <v>37</v>
      </c>
      <c r="F620" s="2" t="s">
        <v>301</v>
      </c>
      <c r="G620" s="2" t="s">
        <v>336</v>
      </c>
      <c r="H620" s="3">
        <v>44493</v>
      </c>
      <c r="I620" s="2" t="s">
        <v>115</v>
      </c>
      <c r="J620" s="2" t="s">
        <v>96</v>
      </c>
      <c r="K620" s="4">
        <v>2021</v>
      </c>
      <c r="L620" s="4">
        <v>1.9</v>
      </c>
      <c r="M620" s="4" t="s">
        <v>41</v>
      </c>
      <c r="N620" s="4" t="s">
        <v>30</v>
      </c>
      <c r="O620" s="4">
        <v>357.2</v>
      </c>
      <c r="P620" s="4">
        <v>46.436</v>
      </c>
      <c r="Q620" s="12">
        <v>310.76400000000001</v>
      </c>
      <c r="R620" s="4" t="s">
        <v>886</v>
      </c>
      <c r="S620" s="4">
        <v>22.8</v>
      </c>
      <c r="T620" s="4">
        <v>287.964</v>
      </c>
    </row>
    <row r="621" spans="1:20" ht="29.4" thickBot="1" x14ac:dyDescent="0.35">
      <c r="A621" s="2" t="s">
        <v>58</v>
      </c>
      <c r="B621" s="2" t="s">
        <v>68</v>
      </c>
      <c r="C621" s="2" t="s">
        <v>35</v>
      </c>
      <c r="D621" s="2" t="s">
        <v>290</v>
      </c>
      <c r="E621" s="2" t="s">
        <v>37</v>
      </c>
      <c r="F621" s="2" t="s">
        <v>291</v>
      </c>
      <c r="G621" s="2" t="s">
        <v>336</v>
      </c>
      <c r="H621" s="3">
        <v>44073</v>
      </c>
      <c r="I621" s="2" t="s">
        <v>53</v>
      </c>
      <c r="J621" s="2" t="s">
        <v>28</v>
      </c>
      <c r="K621" s="4">
        <v>2020</v>
      </c>
      <c r="L621" s="4">
        <v>685</v>
      </c>
      <c r="M621" s="4" t="s">
        <v>41</v>
      </c>
      <c r="N621" s="4" t="s">
        <v>63</v>
      </c>
      <c r="O621" s="4">
        <v>12.33</v>
      </c>
      <c r="P621" s="4">
        <v>1.603</v>
      </c>
      <c r="Q621" s="12">
        <v>10.727</v>
      </c>
      <c r="R621" s="5">
        <v>35186</v>
      </c>
      <c r="S621" s="4">
        <v>8.2200000000000006</v>
      </c>
      <c r="T621" s="4">
        <v>2.5070000000000001</v>
      </c>
    </row>
    <row r="622" spans="1:20" ht="15" thickBot="1" x14ac:dyDescent="0.35">
      <c r="A622" s="2" t="s">
        <v>49</v>
      </c>
      <c r="B622" s="2" t="s">
        <v>50</v>
      </c>
      <c r="C622" s="2" t="s">
        <v>35</v>
      </c>
      <c r="D622" s="2" t="s">
        <v>233</v>
      </c>
      <c r="E622" s="2" t="s">
        <v>37</v>
      </c>
      <c r="F622" s="2" t="s">
        <v>234</v>
      </c>
      <c r="G622" s="2" t="s">
        <v>336</v>
      </c>
      <c r="H622" s="3">
        <v>44518</v>
      </c>
      <c r="I622" s="2" t="s">
        <v>95</v>
      </c>
      <c r="J622" s="2" t="s">
        <v>96</v>
      </c>
      <c r="K622" s="4">
        <v>2021</v>
      </c>
      <c r="L622" s="4">
        <v>3.2349999999999999</v>
      </c>
      <c r="M622" s="4" t="s">
        <v>41</v>
      </c>
      <c r="N622" s="4" t="s">
        <v>116</v>
      </c>
      <c r="O622" s="4">
        <v>35.585000000000001</v>
      </c>
      <c r="P622" s="4">
        <v>4.6260000000000003</v>
      </c>
      <c r="Q622" s="12">
        <v>30.959</v>
      </c>
      <c r="R622" s="4" t="s">
        <v>887</v>
      </c>
      <c r="S622" s="4">
        <v>38.82</v>
      </c>
      <c r="T622" s="4">
        <v>-7.8609999999999998</v>
      </c>
    </row>
    <row r="623" spans="1:20" ht="15" thickBot="1" x14ac:dyDescent="0.35">
      <c r="A623" s="2" t="s">
        <v>33</v>
      </c>
      <c r="B623" s="2" t="s">
        <v>64</v>
      </c>
      <c r="C623" s="2" t="s">
        <v>35</v>
      </c>
      <c r="D623" s="2" t="s">
        <v>65</v>
      </c>
      <c r="E623" s="2" t="s">
        <v>37</v>
      </c>
      <c r="F623" s="2" t="s">
        <v>66</v>
      </c>
      <c r="G623" s="2" t="s">
        <v>336</v>
      </c>
      <c r="H623" s="3">
        <v>44225</v>
      </c>
      <c r="I623" s="2" t="s">
        <v>39</v>
      </c>
      <c r="J623" s="2" t="s">
        <v>40</v>
      </c>
      <c r="K623" s="4">
        <v>2021</v>
      </c>
      <c r="L623" s="4">
        <v>1.8779999999999999</v>
      </c>
      <c r="M623" s="4" t="s">
        <v>41</v>
      </c>
      <c r="N623" s="4" t="s">
        <v>42</v>
      </c>
      <c r="O623" s="4">
        <v>43.194000000000003</v>
      </c>
      <c r="P623" s="4">
        <v>5.6150000000000002</v>
      </c>
      <c r="Q623" s="12">
        <v>37.579000000000001</v>
      </c>
      <c r="R623" s="4" t="s">
        <v>888</v>
      </c>
      <c r="S623" s="4">
        <v>22.536000000000001</v>
      </c>
      <c r="T623" s="4">
        <v>15.042999999999999</v>
      </c>
    </row>
    <row r="624" spans="1:20" ht="15" thickBot="1" x14ac:dyDescent="0.35">
      <c r="A624" s="2" t="s">
        <v>49</v>
      </c>
      <c r="B624" s="2" t="s">
        <v>50</v>
      </c>
      <c r="C624" s="2" t="s">
        <v>35</v>
      </c>
      <c r="D624" s="2" t="s">
        <v>51</v>
      </c>
      <c r="E624" s="2" t="s">
        <v>37</v>
      </c>
      <c r="F624" s="2" t="s">
        <v>52</v>
      </c>
      <c r="G624" s="2" t="s">
        <v>336</v>
      </c>
      <c r="H624" s="3">
        <v>44192</v>
      </c>
      <c r="I624" s="2" t="s">
        <v>100</v>
      </c>
      <c r="J624" s="2" t="s">
        <v>96</v>
      </c>
      <c r="K624" s="4">
        <v>2020</v>
      </c>
      <c r="L624" s="4">
        <v>1.4990000000000001</v>
      </c>
      <c r="M624" s="4" t="s">
        <v>41</v>
      </c>
      <c r="N624" s="4" t="s">
        <v>165</v>
      </c>
      <c r="O624" s="4">
        <v>44.97</v>
      </c>
      <c r="P624" s="4">
        <v>5.8460000000000001</v>
      </c>
      <c r="Q624" s="12">
        <v>39.124000000000002</v>
      </c>
      <c r="R624" s="4" t="s">
        <v>878</v>
      </c>
      <c r="S624" s="4">
        <v>17.988</v>
      </c>
      <c r="T624" s="4">
        <v>21.135999999999999</v>
      </c>
    </row>
    <row r="625" spans="1:20" ht="15" thickBot="1" x14ac:dyDescent="0.35">
      <c r="A625" s="2" t="s">
        <v>49</v>
      </c>
      <c r="B625" s="2" t="s">
        <v>74</v>
      </c>
      <c r="C625" s="2" t="s">
        <v>35</v>
      </c>
      <c r="D625" s="2" t="s">
        <v>293</v>
      </c>
      <c r="E625" s="2" t="s">
        <v>37</v>
      </c>
      <c r="F625" s="2" t="s">
        <v>294</v>
      </c>
      <c r="G625" s="2" t="s">
        <v>336</v>
      </c>
      <c r="H625" s="3">
        <v>43834</v>
      </c>
      <c r="I625" s="2" t="s">
        <v>39</v>
      </c>
      <c r="J625" s="2" t="s">
        <v>40</v>
      </c>
      <c r="K625" s="4">
        <v>2020</v>
      </c>
      <c r="L625" s="4">
        <v>428</v>
      </c>
      <c r="M625" s="4" t="s">
        <v>41</v>
      </c>
      <c r="N625" s="4" t="s">
        <v>54</v>
      </c>
      <c r="O625" s="4">
        <v>224.7</v>
      </c>
      <c r="P625" s="4">
        <v>29.210999999999999</v>
      </c>
      <c r="Q625" s="12">
        <v>195.489</v>
      </c>
      <c r="R625" s="4" t="s">
        <v>889</v>
      </c>
      <c r="S625" s="4">
        <v>5.1360000000000001</v>
      </c>
      <c r="T625" s="4">
        <v>190.35300000000001</v>
      </c>
    </row>
    <row r="626" spans="1:20" ht="29.4" thickBot="1" x14ac:dyDescent="0.35">
      <c r="A626" s="2" t="s">
        <v>58</v>
      </c>
      <c r="B626" s="2" t="s">
        <v>64</v>
      </c>
      <c r="C626" s="2" t="s">
        <v>35</v>
      </c>
      <c r="D626" s="2" t="s">
        <v>108</v>
      </c>
      <c r="E626" s="2" t="s">
        <v>37</v>
      </c>
      <c r="F626" s="2" t="s">
        <v>109</v>
      </c>
      <c r="G626" s="2" t="s">
        <v>336</v>
      </c>
      <c r="H626" s="3">
        <v>44518</v>
      </c>
      <c r="I626" s="2" t="s">
        <v>95</v>
      </c>
      <c r="J626" s="2" t="s">
        <v>96</v>
      </c>
      <c r="K626" s="4">
        <v>2021</v>
      </c>
      <c r="L626" s="4">
        <v>1.216</v>
      </c>
      <c r="M626" s="4" t="s">
        <v>41</v>
      </c>
      <c r="N626" s="4" t="s">
        <v>63</v>
      </c>
      <c r="O626" s="4">
        <v>21.888000000000002</v>
      </c>
      <c r="P626" s="4">
        <v>2.8450000000000002</v>
      </c>
      <c r="Q626" s="12">
        <v>19.042999999999999</v>
      </c>
      <c r="R626" s="5">
        <v>21459</v>
      </c>
      <c r="S626" s="4">
        <v>14.592000000000001</v>
      </c>
      <c r="T626" s="4">
        <v>4.4509999999999996</v>
      </c>
    </row>
    <row r="627" spans="1:20" ht="15" thickBot="1" x14ac:dyDescent="0.35">
      <c r="A627" s="2" t="s">
        <v>33</v>
      </c>
      <c r="B627" s="2" t="s">
        <v>64</v>
      </c>
      <c r="C627" s="2" t="s">
        <v>69</v>
      </c>
      <c r="D627" s="2" t="s">
        <v>890</v>
      </c>
      <c r="E627" s="2" t="s">
        <v>71</v>
      </c>
      <c r="F627" s="2" t="s">
        <v>406</v>
      </c>
      <c r="G627" s="2" t="s">
        <v>336</v>
      </c>
      <c r="H627" s="3">
        <v>44187</v>
      </c>
      <c r="I627" s="2" t="s">
        <v>100</v>
      </c>
      <c r="J627" s="2" t="s">
        <v>96</v>
      </c>
      <c r="K627" s="4">
        <v>2020</v>
      </c>
      <c r="L627" s="4">
        <v>4.7969999999999997</v>
      </c>
      <c r="M627" s="4" t="s">
        <v>73</v>
      </c>
      <c r="N627" s="4" t="s">
        <v>42</v>
      </c>
      <c r="O627" s="4">
        <v>110.331</v>
      </c>
      <c r="P627" s="4">
        <v>14.343</v>
      </c>
      <c r="Q627" s="12">
        <v>95.988</v>
      </c>
      <c r="R627" s="4" t="s">
        <v>891</v>
      </c>
      <c r="S627" s="4">
        <v>709.95600000000002</v>
      </c>
      <c r="T627" s="4">
        <v>-613.96799999999996</v>
      </c>
    </row>
    <row r="628" spans="1:20" ht="15" thickBot="1" x14ac:dyDescent="0.35">
      <c r="A628" s="2" t="s">
        <v>49</v>
      </c>
      <c r="B628" s="2" t="s">
        <v>74</v>
      </c>
      <c r="C628" s="2" t="s">
        <v>69</v>
      </c>
      <c r="D628" s="2" t="s">
        <v>113</v>
      </c>
      <c r="E628" s="2" t="s">
        <v>71</v>
      </c>
      <c r="F628" s="2" t="s">
        <v>114</v>
      </c>
      <c r="G628" s="2" t="s">
        <v>336</v>
      </c>
      <c r="H628" s="3">
        <v>44260</v>
      </c>
      <c r="I628" s="2" t="s">
        <v>112</v>
      </c>
      <c r="J628" s="2" t="s">
        <v>40</v>
      </c>
      <c r="K628" s="4">
        <v>2021</v>
      </c>
      <c r="L628" s="4">
        <v>3.1579999999999999</v>
      </c>
      <c r="M628" s="4" t="s">
        <v>73</v>
      </c>
      <c r="N628" s="4" t="s">
        <v>54</v>
      </c>
      <c r="O628" s="4" t="s">
        <v>882</v>
      </c>
      <c r="P628" s="4">
        <v>215.53399999999999</v>
      </c>
      <c r="Q628" s="12" t="s">
        <v>883</v>
      </c>
      <c r="R628" s="4" t="s">
        <v>884</v>
      </c>
      <c r="S628" s="4">
        <v>467.38400000000001</v>
      </c>
      <c r="T628" s="4">
        <v>975.03300000000002</v>
      </c>
    </row>
    <row r="629" spans="1:20" ht="15" thickBot="1" x14ac:dyDescent="0.35">
      <c r="A629" s="2" t="s">
        <v>49</v>
      </c>
      <c r="B629" s="2" t="s">
        <v>64</v>
      </c>
      <c r="C629" s="2" t="s">
        <v>69</v>
      </c>
      <c r="D629" s="2" t="s">
        <v>239</v>
      </c>
      <c r="E629" s="2" t="s">
        <v>71</v>
      </c>
      <c r="F629" s="2" t="s">
        <v>240</v>
      </c>
      <c r="G629" s="2" t="s">
        <v>336</v>
      </c>
      <c r="H629" s="3">
        <v>43958</v>
      </c>
      <c r="I629" s="2" t="s">
        <v>142</v>
      </c>
      <c r="J629" s="2" t="s">
        <v>92</v>
      </c>
      <c r="K629" s="4">
        <v>2020</v>
      </c>
      <c r="L629" s="4">
        <v>1.4279999999999999</v>
      </c>
      <c r="M629" s="4" t="s">
        <v>73</v>
      </c>
      <c r="N629" s="4" t="s">
        <v>116</v>
      </c>
      <c r="O629" s="4">
        <v>15.708</v>
      </c>
      <c r="P629" s="4">
        <v>2.0419999999999998</v>
      </c>
      <c r="Q629" s="12">
        <v>13.666</v>
      </c>
      <c r="R629" s="5">
        <v>45839</v>
      </c>
      <c r="S629" s="4">
        <v>211.34399999999999</v>
      </c>
      <c r="T629" s="4">
        <v>-197.678</v>
      </c>
    </row>
    <row r="630" spans="1:20" ht="29.4" thickBot="1" x14ac:dyDescent="0.35">
      <c r="A630" s="2" t="s">
        <v>58</v>
      </c>
      <c r="B630" s="2" t="s">
        <v>50</v>
      </c>
      <c r="C630" s="2" t="s">
        <v>69</v>
      </c>
      <c r="D630" s="2" t="s">
        <v>533</v>
      </c>
      <c r="E630" s="2" t="s">
        <v>71</v>
      </c>
      <c r="F630" s="2" t="s">
        <v>313</v>
      </c>
      <c r="G630" s="2" t="s">
        <v>336</v>
      </c>
      <c r="H630" s="3">
        <v>44084</v>
      </c>
      <c r="I630" s="2" t="s">
        <v>27</v>
      </c>
      <c r="J630" s="2" t="s">
        <v>28</v>
      </c>
      <c r="K630" s="4">
        <v>2020</v>
      </c>
      <c r="L630" s="4">
        <v>725</v>
      </c>
      <c r="M630" s="4" t="s">
        <v>73</v>
      </c>
      <c r="N630" s="4" t="s">
        <v>63</v>
      </c>
      <c r="O630" s="4">
        <v>13.05</v>
      </c>
      <c r="P630" s="4">
        <v>1.6970000000000001</v>
      </c>
      <c r="Q630" s="12">
        <v>11.353999999999999</v>
      </c>
      <c r="R630" s="5">
        <v>11475</v>
      </c>
      <c r="S630" s="4">
        <v>107.3</v>
      </c>
      <c r="T630" s="4">
        <v>-95.947000000000003</v>
      </c>
    </row>
    <row r="631" spans="1:20" ht="29.4" thickBot="1" x14ac:dyDescent="0.35">
      <c r="A631" s="2" t="s">
        <v>58</v>
      </c>
      <c r="B631" s="2" t="s">
        <v>50</v>
      </c>
      <c r="C631" s="2" t="s">
        <v>69</v>
      </c>
      <c r="D631" s="2" t="s">
        <v>533</v>
      </c>
      <c r="E631" s="2" t="s">
        <v>71</v>
      </c>
      <c r="F631" s="2" t="s">
        <v>313</v>
      </c>
      <c r="G631" s="2" t="s">
        <v>336</v>
      </c>
      <c r="H631" s="3">
        <v>44241</v>
      </c>
      <c r="I631" s="2" t="s">
        <v>79</v>
      </c>
      <c r="J631" s="2" t="s">
        <v>40</v>
      </c>
      <c r="K631" s="4">
        <v>2021</v>
      </c>
      <c r="L631" s="4">
        <v>492</v>
      </c>
      <c r="M631" s="4" t="s">
        <v>73</v>
      </c>
      <c r="N631" s="4" t="s">
        <v>63</v>
      </c>
      <c r="O631" s="4">
        <v>8.8559999999999999</v>
      </c>
      <c r="P631" s="4">
        <v>1.151</v>
      </c>
      <c r="Q631" s="12">
        <v>7.7050000000000001</v>
      </c>
      <c r="R631" s="5">
        <v>46844</v>
      </c>
      <c r="S631" s="4">
        <v>72.816000000000003</v>
      </c>
      <c r="T631" s="4">
        <v>-65.111000000000004</v>
      </c>
    </row>
    <row r="632" spans="1:20" ht="29.4" thickBot="1" x14ac:dyDescent="0.35">
      <c r="A632" s="2" t="s">
        <v>58</v>
      </c>
      <c r="B632" s="2" t="s">
        <v>34</v>
      </c>
      <c r="C632" s="2" t="s">
        <v>69</v>
      </c>
      <c r="D632" s="2" t="s">
        <v>457</v>
      </c>
      <c r="E632" s="2" t="s">
        <v>71</v>
      </c>
      <c r="F632" s="2" t="s">
        <v>356</v>
      </c>
      <c r="G632" s="2" t="s">
        <v>336</v>
      </c>
      <c r="H632" s="3">
        <v>44425</v>
      </c>
      <c r="I632" s="2" t="s">
        <v>53</v>
      </c>
      <c r="J632" s="2" t="s">
        <v>28</v>
      </c>
      <c r="K632" s="4">
        <v>2021</v>
      </c>
      <c r="L632" s="4">
        <v>1.216</v>
      </c>
      <c r="M632" s="4" t="s">
        <v>73</v>
      </c>
      <c r="N632" s="4" t="s">
        <v>63</v>
      </c>
      <c r="O632" s="4">
        <v>21.888000000000002</v>
      </c>
      <c r="P632" s="4">
        <v>2.8450000000000002</v>
      </c>
      <c r="Q632" s="12">
        <v>19.042999999999999</v>
      </c>
      <c r="R632" s="5">
        <v>21459</v>
      </c>
      <c r="S632" s="4">
        <v>179.96799999999999</v>
      </c>
      <c r="T632" s="4">
        <v>-160.92500000000001</v>
      </c>
    </row>
    <row r="633" spans="1:20" ht="15" thickBot="1" x14ac:dyDescent="0.35">
      <c r="A633" s="2" t="s">
        <v>20</v>
      </c>
      <c r="B633" s="2" t="s">
        <v>21</v>
      </c>
      <c r="C633" s="2" t="s">
        <v>75</v>
      </c>
      <c r="D633" s="2" t="s">
        <v>427</v>
      </c>
      <c r="E633" s="2" t="s">
        <v>77</v>
      </c>
      <c r="F633" s="2" t="s">
        <v>190</v>
      </c>
      <c r="G633" s="2" t="s">
        <v>336</v>
      </c>
      <c r="H633" s="3">
        <v>44088</v>
      </c>
      <c r="I633" s="2" t="s">
        <v>27</v>
      </c>
      <c r="J633" s="2" t="s">
        <v>28</v>
      </c>
      <c r="K633" s="4">
        <v>2020</v>
      </c>
      <c r="L633" s="4">
        <v>1.9</v>
      </c>
      <c r="M633" s="4" t="s">
        <v>80</v>
      </c>
      <c r="N633" s="4" t="s">
        <v>30</v>
      </c>
      <c r="O633" s="4">
        <v>357.2</v>
      </c>
      <c r="P633" s="4">
        <v>46.436</v>
      </c>
      <c r="Q633" s="12">
        <v>310.76400000000001</v>
      </c>
      <c r="R633" s="4" t="s">
        <v>886</v>
      </c>
      <c r="S633" s="4">
        <v>585.20000000000005</v>
      </c>
      <c r="T633" s="4">
        <v>-274.43599999999998</v>
      </c>
    </row>
    <row r="634" spans="1:20" ht="15" thickBot="1" x14ac:dyDescent="0.35">
      <c r="A634" s="2" t="s">
        <v>33</v>
      </c>
      <c r="B634" s="2" t="s">
        <v>21</v>
      </c>
      <c r="C634" s="2" t="s">
        <v>75</v>
      </c>
      <c r="D634" s="2" t="s">
        <v>651</v>
      </c>
      <c r="E634" s="2" t="s">
        <v>77</v>
      </c>
      <c r="F634" s="2" t="s">
        <v>354</v>
      </c>
      <c r="G634" s="2" t="s">
        <v>336</v>
      </c>
      <c r="H634" s="3">
        <v>44368</v>
      </c>
      <c r="I634" s="2" t="s">
        <v>205</v>
      </c>
      <c r="J634" s="2" t="s">
        <v>92</v>
      </c>
      <c r="K634" s="4">
        <v>2021</v>
      </c>
      <c r="L634" s="4">
        <v>1.8779999999999999</v>
      </c>
      <c r="M634" s="4" t="s">
        <v>80</v>
      </c>
      <c r="N634" s="4" t="s">
        <v>42</v>
      </c>
      <c r="O634" s="4">
        <v>43.194000000000003</v>
      </c>
      <c r="P634" s="4">
        <v>5.6150000000000002</v>
      </c>
      <c r="Q634" s="12">
        <v>37.579000000000001</v>
      </c>
      <c r="R634" s="4" t="s">
        <v>888</v>
      </c>
      <c r="S634" s="4">
        <v>578.42399999999998</v>
      </c>
      <c r="T634" s="4">
        <v>-540.84500000000003</v>
      </c>
    </row>
    <row r="635" spans="1:20" ht="15" thickBot="1" x14ac:dyDescent="0.35">
      <c r="A635" s="2" t="s">
        <v>20</v>
      </c>
      <c r="B635" s="2" t="s">
        <v>68</v>
      </c>
      <c r="C635" s="2" t="s">
        <v>120</v>
      </c>
      <c r="D635" s="2" t="s">
        <v>693</v>
      </c>
      <c r="E635" s="2" t="s">
        <v>122</v>
      </c>
      <c r="F635" s="2" t="s">
        <v>378</v>
      </c>
      <c r="G635" s="2" t="s">
        <v>336</v>
      </c>
      <c r="H635" s="3">
        <v>44065</v>
      </c>
      <c r="I635" s="2" t="s">
        <v>53</v>
      </c>
      <c r="J635" s="2" t="s">
        <v>28</v>
      </c>
      <c r="K635" s="4">
        <v>2020</v>
      </c>
      <c r="L635" s="4">
        <v>1.9910000000000001</v>
      </c>
      <c r="M635" s="4" t="s">
        <v>124</v>
      </c>
      <c r="N635" s="4" t="s">
        <v>30</v>
      </c>
      <c r="O635" s="4">
        <v>374.30799999999999</v>
      </c>
      <c r="P635" s="4">
        <v>48.66</v>
      </c>
      <c r="Q635" s="12">
        <v>325.64800000000002</v>
      </c>
      <c r="R635" s="4" t="s">
        <v>892</v>
      </c>
      <c r="S635" s="4">
        <v>637.12</v>
      </c>
      <c r="T635" s="4">
        <v>-311.47199999999998</v>
      </c>
    </row>
    <row r="636" spans="1:20" ht="15" thickBot="1" x14ac:dyDescent="0.35">
      <c r="A636" s="2" t="s">
        <v>49</v>
      </c>
      <c r="B636" s="2" t="s">
        <v>21</v>
      </c>
      <c r="C636" s="2" t="s">
        <v>120</v>
      </c>
      <c r="D636" s="2" t="s">
        <v>272</v>
      </c>
      <c r="E636" s="2" t="s">
        <v>122</v>
      </c>
      <c r="F636" s="2" t="s">
        <v>273</v>
      </c>
      <c r="G636" s="2" t="s">
        <v>336</v>
      </c>
      <c r="H636" s="3">
        <v>44244</v>
      </c>
      <c r="I636" s="2" t="s">
        <v>79</v>
      </c>
      <c r="J636" s="2" t="s">
        <v>40</v>
      </c>
      <c r="K636" s="4">
        <v>2021</v>
      </c>
      <c r="L636" s="4">
        <v>1.4279999999999999</v>
      </c>
      <c r="M636" s="4" t="s">
        <v>124</v>
      </c>
      <c r="N636" s="4" t="s">
        <v>116</v>
      </c>
      <c r="O636" s="4">
        <v>15.708</v>
      </c>
      <c r="P636" s="4">
        <v>2.0419999999999998</v>
      </c>
      <c r="Q636" s="12">
        <v>13.666</v>
      </c>
      <c r="R636" s="5">
        <v>45839</v>
      </c>
      <c r="S636" s="4">
        <v>456.96</v>
      </c>
      <c r="T636" s="4">
        <v>-443.29399999999998</v>
      </c>
    </row>
    <row r="637" spans="1:20" ht="29.4" thickBot="1" x14ac:dyDescent="0.35">
      <c r="A637" s="2" t="s">
        <v>58</v>
      </c>
      <c r="B637" s="2" t="s">
        <v>50</v>
      </c>
      <c r="C637" s="2" t="s">
        <v>120</v>
      </c>
      <c r="D637" s="2" t="s">
        <v>312</v>
      </c>
      <c r="E637" s="2" t="s">
        <v>122</v>
      </c>
      <c r="F637" s="2" t="s">
        <v>313</v>
      </c>
      <c r="G637" s="2" t="s">
        <v>336</v>
      </c>
      <c r="H637" s="3">
        <v>44218</v>
      </c>
      <c r="I637" s="2" t="s">
        <v>39</v>
      </c>
      <c r="J637" s="2" t="s">
        <v>40</v>
      </c>
      <c r="K637" s="4">
        <v>2021</v>
      </c>
      <c r="L637" s="4">
        <v>492</v>
      </c>
      <c r="M637" s="4" t="s">
        <v>124</v>
      </c>
      <c r="N637" s="4" t="s">
        <v>63</v>
      </c>
      <c r="O637" s="4">
        <v>8.8559999999999999</v>
      </c>
      <c r="P637" s="4">
        <v>1.151</v>
      </c>
      <c r="Q637" s="12">
        <v>7.7050000000000001</v>
      </c>
      <c r="R637" s="5">
        <v>46844</v>
      </c>
      <c r="S637" s="4">
        <v>157.44</v>
      </c>
      <c r="T637" s="4">
        <v>-149.73500000000001</v>
      </c>
    </row>
    <row r="638" spans="1:20" ht="15" thickBot="1" x14ac:dyDescent="0.35">
      <c r="A638" s="2" t="s">
        <v>49</v>
      </c>
      <c r="B638" s="2" t="s">
        <v>34</v>
      </c>
      <c r="C638" s="2" t="s">
        <v>82</v>
      </c>
      <c r="D638" s="2" t="s">
        <v>275</v>
      </c>
      <c r="E638" s="2" t="s">
        <v>84</v>
      </c>
      <c r="F638" s="2" t="s">
        <v>276</v>
      </c>
      <c r="G638" s="2" t="s">
        <v>336</v>
      </c>
      <c r="H638" s="3">
        <v>43893</v>
      </c>
      <c r="I638" s="2" t="s">
        <v>112</v>
      </c>
      <c r="J638" s="2" t="s">
        <v>40</v>
      </c>
      <c r="K638" s="4">
        <v>2020</v>
      </c>
      <c r="L638" s="4">
        <v>3.0950000000000002</v>
      </c>
      <c r="M638" s="4" t="s">
        <v>87</v>
      </c>
      <c r="N638" s="4" t="s">
        <v>165</v>
      </c>
      <c r="O638" s="4">
        <v>92.85</v>
      </c>
      <c r="P638" s="4">
        <v>12.999000000000001</v>
      </c>
      <c r="Q638" s="12">
        <v>79.850999999999999</v>
      </c>
      <c r="R638" s="4" t="s">
        <v>893</v>
      </c>
      <c r="S638" s="4">
        <v>12.38</v>
      </c>
      <c r="T638" s="4">
        <v>67.471000000000004</v>
      </c>
    </row>
    <row r="639" spans="1:20" ht="15" thickBot="1" x14ac:dyDescent="0.35">
      <c r="A639" s="2" t="s">
        <v>49</v>
      </c>
      <c r="B639" s="2" t="s">
        <v>21</v>
      </c>
      <c r="C639" s="2" t="s">
        <v>82</v>
      </c>
      <c r="D639" s="2" t="s">
        <v>248</v>
      </c>
      <c r="E639" s="2" t="s">
        <v>84</v>
      </c>
      <c r="F639" s="2" t="s">
        <v>249</v>
      </c>
      <c r="G639" s="2" t="s">
        <v>336</v>
      </c>
      <c r="H639" s="3">
        <v>44460</v>
      </c>
      <c r="I639" s="2" t="s">
        <v>27</v>
      </c>
      <c r="J639" s="2" t="s">
        <v>28</v>
      </c>
      <c r="K639" s="4">
        <v>2021</v>
      </c>
      <c r="L639" s="4">
        <v>2.0920000000000001</v>
      </c>
      <c r="M639" s="4" t="s">
        <v>87</v>
      </c>
      <c r="N639" s="4" t="s">
        <v>165</v>
      </c>
      <c r="O639" s="4">
        <v>62.76</v>
      </c>
      <c r="P639" s="4">
        <v>8.7859999999999996</v>
      </c>
      <c r="Q639" s="12">
        <v>53.973999999999997</v>
      </c>
      <c r="R639" s="4" t="s">
        <v>894</v>
      </c>
      <c r="S639" s="4">
        <v>8.3680000000000003</v>
      </c>
      <c r="T639" s="4">
        <v>45.606000000000002</v>
      </c>
    </row>
    <row r="640" spans="1:20" ht="15" thickBot="1" x14ac:dyDescent="0.35">
      <c r="A640" s="2" t="s">
        <v>49</v>
      </c>
      <c r="B640" s="2" t="s">
        <v>74</v>
      </c>
      <c r="C640" s="2" t="s">
        <v>82</v>
      </c>
      <c r="D640" s="2" t="s">
        <v>219</v>
      </c>
      <c r="E640" s="2" t="s">
        <v>84</v>
      </c>
      <c r="F640" s="2" t="s">
        <v>220</v>
      </c>
      <c r="G640" s="2" t="s">
        <v>336</v>
      </c>
      <c r="H640" s="3">
        <v>44142</v>
      </c>
      <c r="I640" s="2" t="s">
        <v>95</v>
      </c>
      <c r="J640" s="2" t="s">
        <v>96</v>
      </c>
      <c r="K640" s="4">
        <v>2020</v>
      </c>
      <c r="L640" s="4">
        <v>336</v>
      </c>
      <c r="M640" s="4" t="s">
        <v>87</v>
      </c>
      <c r="N640" s="4" t="s">
        <v>116</v>
      </c>
      <c r="O640" s="4">
        <v>3.6960000000000002</v>
      </c>
      <c r="P640" s="4">
        <v>517</v>
      </c>
      <c r="Q640" s="12">
        <v>3.1789999999999998</v>
      </c>
      <c r="R640" s="5">
        <v>25204</v>
      </c>
      <c r="S640" s="4">
        <v>1.3440000000000001</v>
      </c>
      <c r="T640" s="4">
        <v>1.835</v>
      </c>
    </row>
    <row r="641" spans="1:20" ht="15" thickBot="1" x14ac:dyDescent="0.35">
      <c r="A641" s="2" t="s">
        <v>49</v>
      </c>
      <c r="B641" s="2" t="s">
        <v>44</v>
      </c>
      <c r="C641" s="2" t="s">
        <v>22</v>
      </c>
      <c r="D641" s="2" t="s">
        <v>253</v>
      </c>
      <c r="E641" s="2" t="s">
        <v>24</v>
      </c>
      <c r="F641" s="2" t="s">
        <v>254</v>
      </c>
      <c r="G641" s="2" t="s">
        <v>336</v>
      </c>
      <c r="H641" s="3">
        <v>43954</v>
      </c>
      <c r="I641" s="2" t="s">
        <v>142</v>
      </c>
      <c r="J641" s="2" t="s">
        <v>92</v>
      </c>
      <c r="K641" s="4">
        <v>2020</v>
      </c>
      <c r="L641" s="4">
        <v>352</v>
      </c>
      <c r="M641" s="4" t="s">
        <v>29</v>
      </c>
      <c r="N641" s="4" t="s">
        <v>116</v>
      </c>
      <c r="O641" s="4">
        <v>3.8719999999999999</v>
      </c>
      <c r="P641" s="4">
        <v>542</v>
      </c>
      <c r="Q641" s="12">
        <v>3.33</v>
      </c>
      <c r="R641" s="5">
        <v>27760</v>
      </c>
      <c r="S641" s="4">
        <v>2.1120000000000001</v>
      </c>
      <c r="T641" s="4">
        <v>1.218</v>
      </c>
    </row>
    <row r="642" spans="1:20" ht="15" thickBot="1" x14ac:dyDescent="0.35">
      <c r="A642" s="2" t="s">
        <v>33</v>
      </c>
      <c r="B642" s="2" t="s">
        <v>64</v>
      </c>
      <c r="C642" s="2" t="s">
        <v>35</v>
      </c>
      <c r="D642" s="2" t="s">
        <v>187</v>
      </c>
      <c r="E642" s="2" t="s">
        <v>37</v>
      </c>
      <c r="F642" s="2" t="s">
        <v>188</v>
      </c>
      <c r="G642" s="2" t="s">
        <v>336</v>
      </c>
      <c r="H642" s="3">
        <v>44097</v>
      </c>
      <c r="I642" s="2" t="s">
        <v>27</v>
      </c>
      <c r="J642" s="2" t="s">
        <v>28</v>
      </c>
      <c r="K642" s="4">
        <v>2020</v>
      </c>
      <c r="L642" s="4">
        <v>334</v>
      </c>
      <c r="M642" s="4" t="s">
        <v>41</v>
      </c>
      <c r="N642" s="4" t="s">
        <v>42</v>
      </c>
      <c r="O642" s="4">
        <v>7.6820000000000004</v>
      </c>
      <c r="P642" s="4">
        <v>1.075</v>
      </c>
      <c r="Q642" s="12">
        <v>6.6070000000000002</v>
      </c>
      <c r="R642" s="5">
        <v>21610</v>
      </c>
      <c r="S642" s="4">
        <v>4.008</v>
      </c>
      <c r="T642" s="4">
        <v>2.5990000000000002</v>
      </c>
    </row>
    <row r="643" spans="1:20" ht="15" thickBot="1" x14ac:dyDescent="0.35">
      <c r="A643" s="2" t="s">
        <v>49</v>
      </c>
      <c r="B643" s="2" t="s">
        <v>50</v>
      </c>
      <c r="C643" s="2" t="s">
        <v>35</v>
      </c>
      <c r="D643" s="2" t="s">
        <v>51</v>
      </c>
      <c r="E643" s="2" t="s">
        <v>37</v>
      </c>
      <c r="F643" s="2" t="s">
        <v>52</v>
      </c>
      <c r="G643" s="2" t="s">
        <v>336</v>
      </c>
      <c r="H643" s="3">
        <v>44164</v>
      </c>
      <c r="I643" s="2" t="s">
        <v>95</v>
      </c>
      <c r="J643" s="2" t="s">
        <v>96</v>
      </c>
      <c r="K643" s="4">
        <v>2020</v>
      </c>
      <c r="L643" s="4">
        <v>2.9140000000000001</v>
      </c>
      <c r="M643" s="4" t="s">
        <v>41</v>
      </c>
      <c r="N643" s="4" t="s">
        <v>165</v>
      </c>
      <c r="O643" s="4">
        <v>87.42</v>
      </c>
      <c r="P643" s="4">
        <v>12.239000000000001</v>
      </c>
      <c r="Q643" s="12">
        <v>75.180999999999997</v>
      </c>
      <c r="R643" s="4" t="s">
        <v>895</v>
      </c>
      <c r="S643" s="4">
        <v>34.968000000000004</v>
      </c>
      <c r="T643" s="4">
        <v>40.213000000000001</v>
      </c>
    </row>
    <row r="644" spans="1:20" ht="15" thickBot="1" x14ac:dyDescent="0.35">
      <c r="A644" s="2" t="s">
        <v>33</v>
      </c>
      <c r="B644" s="2" t="s">
        <v>34</v>
      </c>
      <c r="C644" s="2" t="s">
        <v>35</v>
      </c>
      <c r="D644" s="2" t="s">
        <v>147</v>
      </c>
      <c r="E644" s="2" t="s">
        <v>37</v>
      </c>
      <c r="F644" s="2" t="s">
        <v>148</v>
      </c>
      <c r="G644" s="2" t="s">
        <v>336</v>
      </c>
      <c r="H644" s="3">
        <v>44247</v>
      </c>
      <c r="I644" s="2" t="s">
        <v>79</v>
      </c>
      <c r="J644" s="2" t="s">
        <v>40</v>
      </c>
      <c r="K644" s="4">
        <v>2021</v>
      </c>
      <c r="L644" s="4">
        <v>2.12</v>
      </c>
      <c r="M644" s="4" t="s">
        <v>41</v>
      </c>
      <c r="N644" s="4" t="s">
        <v>42</v>
      </c>
      <c r="O644" s="4">
        <v>48.76</v>
      </c>
      <c r="P644" s="4">
        <v>6.8259999999999996</v>
      </c>
      <c r="Q644" s="12">
        <v>41.933999999999997</v>
      </c>
      <c r="R644" s="4" t="s">
        <v>896</v>
      </c>
      <c r="S644" s="4">
        <v>25.44</v>
      </c>
      <c r="T644" s="4">
        <v>16.494</v>
      </c>
    </row>
    <row r="645" spans="1:20" ht="29.4" thickBot="1" x14ac:dyDescent="0.35">
      <c r="A645" s="2" t="s">
        <v>58</v>
      </c>
      <c r="B645" s="2" t="s">
        <v>21</v>
      </c>
      <c r="C645" s="2" t="s">
        <v>35</v>
      </c>
      <c r="D645" s="2" t="s">
        <v>144</v>
      </c>
      <c r="E645" s="2" t="s">
        <v>37</v>
      </c>
      <c r="F645" s="2" t="s">
        <v>145</v>
      </c>
      <c r="G645" s="2" t="s">
        <v>336</v>
      </c>
      <c r="H645" s="3">
        <v>44159</v>
      </c>
      <c r="I645" s="2" t="s">
        <v>95</v>
      </c>
      <c r="J645" s="2" t="s">
        <v>96</v>
      </c>
      <c r="K645" s="4">
        <v>2020</v>
      </c>
      <c r="L645" s="4">
        <v>1.6719999999999999</v>
      </c>
      <c r="M645" s="4" t="s">
        <v>41</v>
      </c>
      <c r="N645" s="4" t="s">
        <v>63</v>
      </c>
      <c r="O645" s="4">
        <v>30.096</v>
      </c>
      <c r="P645" s="4">
        <v>4.2130000000000001</v>
      </c>
      <c r="Q645" s="12">
        <v>25.882999999999999</v>
      </c>
      <c r="R645" s="4" t="s">
        <v>897</v>
      </c>
      <c r="S645" s="4">
        <v>20.064</v>
      </c>
      <c r="T645" s="4">
        <v>5.819</v>
      </c>
    </row>
    <row r="646" spans="1:20" ht="15" thickBot="1" x14ac:dyDescent="0.35">
      <c r="A646" s="2" t="s">
        <v>49</v>
      </c>
      <c r="B646" s="2" t="s">
        <v>74</v>
      </c>
      <c r="C646" s="2" t="s">
        <v>75</v>
      </c>
      <c r="D646" s="2" t="s">
        <v>244</v>
      </c>
      <c r="E646" s="2" t="s">
        <v>77</v>
      </c>
      <c r="F646" s="2" t="s">
        <v>245</v>
      </c>
      <c r="G646" s="2" t="s">
        <v>336</v>
      </c>
      <c r="H646" s="3">
        <v>44128</v>
      </c>
      <c r="I646" s="2" t="s">
        <v>115</v>
      </c>
      <c r="J646" s="2" t="s">
        <v>96</v>
      </c>
      <c r="K646" s="4">
        <v>2020</v>
      </c>
      <c r="L646" s="4">
        <v>336</v>
      </c>
      <c r="M646" s="4" t="s">
        <v>80</v>
      </c>
      <c r="N646" s="4" t="s">
        <v>116</v>
      </c>
      <c r="O646" s="4">
        <v>3.6960000000000002</v>
      </c>
      <c r="P646" s="4">
        <v>517</v>
      </c>
      <c r="Q646" s="12">
        <v>3.1789999999999998</v>
      </c>
      <c r="R646" s="5">
        <v>25204</v>
      </c>
      <c r="S646" s="4">
        <v>103.488</v>
      </c>
      <c r="T646" s="4">
        <v>-100.309</v>
      </c>
    </row>
    <row r="647" spans="1:20" ht="29.4" thickBot="1" x14ac:dyDescent="0.35">
      <c r="A647" s="2" t="s">
        <v>58</v>
      </c>
      <c r="B647" s="2" t="s">
        <v>44</v>
      </c>
      <c r="C647" s="2" t="s">
        <v>120</v>
      </c>
      <c r="D647" s="2" t="s">
        <v>332</v>
      </c>
      <c r="E647" s="2" t="s">
        <v>122</v>
      </c>
      <c r="F647" s="2" t="s">
        <v>333</v>
      </c>
      <c r="G647" s="2" t="s">
        <v>336</v>
      </c>
      <c r="H647" s="3">
        <v>44530</v>
      </c>
      <c r="I647" s="2" t="s">
        <v>95</v>
      </c>
      <c r="J647" s="2" t="s">
        <v>96</v>
      </c>
      <c r="K647" s="4">
        <v>2021</v>
      </c>
      <c r="L647" s="4">
        <v>1.6719999999999999</v>
      </c>
      <c r="M647" s="4" t="s">
        <v>124</v>
      </c>
      <c r="N647" s="4" t="s">
        <v>63</v>
      </c>
      <c r="O647" s="4">
        <v>30.096</v>
      </c>
      <c r="P647" s="4">
        <v>4.2130000000000001</v>
      </c>
      <c r="Q647" s="12">
        <v>25.882999999999999</v>
      </c>
      <c r="R647" s="4" t="s">
        <v>897</v>
      </c>
      <c r="S647" s="4">
        <v>535.04</v>
      </c>
      <c r="T647" s="4">
        <v>-509.15699999999998</v>
      </c>
    </row>
    <row r="648" spans="1:20" ht="29.4" thickBot="1" x14ac:dyDescent="0.35">
      <c r="A648" s="2" t="s">
        <v>43</v>
      </c>
      <c r="B648" s="2" t="s">
        <v>44</v>
      </c>
      <c r="C648" s="2" t="s">
        <v>82</v>
      </c>
      <c r="D648" s="2" t="s">
        <v>93</v>
      </c>
      <c r="E648" s="2" t="s">
        <v>84</v>
      </c>
      <c r="F648" s="2" t="s">
        <v>94</v>
      </c>
      <c r="G648" s="2" t="s">
        <v>336</v>
      </c>
      <c r="H648" s="3">
        <v>43871</v>
      </c>
      <c r="I648" s="2" t="s">
        <v>79</v>
      </c>
      <c r="J648" s="2" t="s">
        <v>40</v>
      </c>
      <c r="K648" s="4">
        <v>2020</v>
      </c>
      <c r="L648" s="4">
        <v>961</v>
      </c>
      <c r="M648" s="4" t="s">
        <v>87</v>
      </c>
      <c r="N648" s="4" t="s">
        <v>47</v>
      </c>
      <c r="O648" s="4">
        <v>432.45</v>
      </c>
      <c r="P648" s="4">
        <v>60.542999999999999</v>
      </c>
      <c r="Q648" s="12">
        <v>371.90699999999998</v>
      </c>
      <c r="R648" s="4" t="s">
        <v>898</v>
      </c>
      <c r="S648" s="4">
        <v>3.8439999999999999</v>
      </c>
      <c r="T648" s="4">
        <v>368.06299999999999</v>
      </c>
    </row>
    <row r="649" spans="1:20" ht="29.4" thickBot="1" x14ac:dyDescent="0.35">
      <c r="A649" s="2" t="s">
        <v>43</v>
      </c>
      <c r="B649" s="2" t="s">
        <v>34</v>
      </c>
      <c r="C649" s="2" t="s">
        <v>82</v>
      </c>
      <c r="D649" s="2" t="s">
        <v>725</v>
      </c>
      <c r="E649" s="2" t="s">
        <v>84</v>
      </c>
      <c r="F649" s="2" t="s">
        <v>301</v>
      </c>
      <c r="G649" s="2" t="s">
        <v>336</v>
      </c>
      <c r="H649" s="3">
        <v>43887</v>
      </c>
      <c r="I649" s="2" t="s">
        <v>79</v>
      </c>
      <c r="J649" s="2" t="s">
        <v>40</v>
      </c>
      <c r="K649" s="4">
        <v>2020</v>
      </c>
      <c r="L649" s="4">
        <v>1.7949999999999999</v>
      </c>
      <c r="M649" s="4" t="s">
        <v>87</v>
      </c>
      <c r="N649" s="4" t="s">
        <v>47</v>
      </c>
      <c r="O649" s="4">
        <v>807.75</v>
      </c>
      <c r="P649" s="4">
        <v>113.08499999999999</v>
      </c>
      <c r="Q649" s="12">
        <v>694.66499999999996</v>
      </c>
      <c r="R649" s="4" t="s">
        <v>899</v>
      </c>
      <c r="S649" s="4">
        <v>7.18</v>
      </c>
      <c r="T649" s="4">
        <v>687.48500000000001</v>
      </c>
    </row>
    <row r="650" spans="1:20" ht="29.4" thickBot="1" x14ac:dyDescent="0.35">
      <c r="A650" s="2" t="s">
        <v>43</v>
      </c>
      <c r="B650" s="2" t="s">
        <v>64</v>
      </c>
      <c r="C650" s="2" t="s">
        <v>82</v>
      </c>
      <c r="D650" s="2" t="s">
        <v>617</v>
      </c>
      <c r="E650" s="2" t="s">
        <v>84</v>
      </c>
      <c r="F650" s="2" t="s">
        <v>225</v>
      </c>
      <c r="G650" s="2" t="s">
        <v>336</v>
      </c>
      <c r="H650" s="3">
        <v>44311</v>
      </c>
      <c r="I650" s="2" t="s">
        <v>91</v>
      </c>
      <c r="J650" s="2" t="s">
        <v>92</v>
      </c>
      <c r="K650" s="4">
        <v>2021</v>
      </c>
      <c r="L650" s="4">
        <v>1.212</v>
      </c>
      <c r="M650" s="4" t="s">
        <v>87</v>
      </c>
      <c r="N650" s="4" t="s">
        <v>47</v>
      </c>
      <c r="O650" s="4">
        <v>545.4</v>
      </c>
      <c r="P650" s="4">
        <v>76.355999999999995</v>
      </c>
      <c r="Q650" s="12">
        <v>469.04399999999998</v>
      </c>
      <c r="R650" s="4" t="s">
        <v>900</v>
      </c>
      <c r="S650" s="4">
        <v>4.8479999999999999</v>
      </c>
      <c r="T650" s="4">
        <v>464.19600000000003</v>
      </c>
    </row>
    <row r="651" spans="1:20" ht="15" thickBot="1" x14ac:dyDescent="0.35">
      <c r="A651" s="2" t="s">
        <v>33</v>
      </c>
      <c r="B651" s="2" t="s">
        <v>44</v>
      </c>
      <c r="C651" s="2" t="s">
        <v>82</v>
      </c>
      <c r="D651" s="2" t="s">
        <v>434</v>
      </c>
      <c r="E651" s="2" t="s">
        <v>84</v>
      </c>
      <c r="F651" s="2" t="s">
        <v>435</v>
      </c>
      <c r="G651" s="2" t="s">
        <v>336</v>
      </c>
      <c r="H651" s="3">
        <v>43885</v>
      </c>
      <c r="I651" s="2" t="s">
        <v>79</v>
      </c>
      <c r="J651" s="2" t="s">
        <v>40</v>
      </c>
      <c r="K651" s="4">
        <v>2020</v>
      </c>
      <c r="L651" s="4">
        <v>1.8160000000000001</v>
      </c>
      <c r="M651" s="4" t="s">
        <v>87</v>
      </c>
      <c r="N651" s="4" t="s">
        <v>42</v>
      </c>
      <c r="O651" s="4">
        <v>41.768000000000001</v>
      </c>
      <c r="P651" s="4">
        <v>5.8479999999999999</v>
      </c>
      <c r="Q651" s="12">
        <v>35.92</v>
      </c>
      <c r="R651" s="4" t="s">
        <v>901</v>
      </c>
      <c r="S651" s="4">
        <v>7.2640000000000002</v>
      </c>
      <c r="T651" s="4">
        <v>28.655999999999999</v>
      </c>
    </row>
    <row r="652" spans="1:20" ht="15" thickBot="1" x14ac:dyDescent="0.35">
      <c r="A652" s="2" t="s">
        <v>33</v>
      </c>
      <c r="B652" s="2" t="s">
        <v>34</v>
      </c>
      <c r="C652" s="2" t="s">
        <v>82</v>
      </c>
      <c r="D652" s="2" t="s">
        <v>355</v>
      </c>
      <c r="E652" s="2" t="s">
        <v>84</v>
      </c>
      <c r="F652" s="2" t="s">
        <v>356</v>
      </c>
      <c r="G652" s="2" t="s">
        <v>336</v>
      </c>
      <c r="H652" s="3">
        <v>44350</v>
      </c>
      <c r="I652" s="2" t="s">
        <v>205</v>
      </c>
      <c r="J652" s="2" t="s">
        <v>92</v>
      </c>
      <c r="K652" s="4">
        <v>2021</v>
      </c>
      <c r="L652" s="4">
        <v>2.76</v>
      </c>
      <c r="M652" s="4" t="s">
        <v>87</v>
      </c>
      <c r="N652" s="4" t="s">
        <v>42</v>
      </c>
      <c r="O652" s="4">
        <v>63.48</v>
      </c>
      <c r="P652" s="4">
        <v>8.8870000000000005</v>
      </c>
      <c r="Q652" s="12">
        <v>54.593000000000004</v>
      </c>
      <c r="R652" s="4" t="s">
        <v>902</v>
      </c>
      <c r="S652" s="4">
        <v>11.04</v>
      </c>
      <c r="T652" s="4">
        <v>43.552999999999997</v>
      </c>
    </row>
    <row r="653" spans="1:20" ht="15" thickBot="1" x14ac:dyDescent="0.35">
      <c r="A653" s="2" t="s">
        <v>49</v>
      </c>
      <c r="B653" s="2" t="s">
        <v>44</v>
      </c>
      <c r="C653" s="2" t="s">
        <v>22</v>
      </c>
      <c r="D653" s="2" t="s">
        <v>200</v>
      </c>
      <c r="E653" s="2" t="s">
        <v>24</v>
      </c>
      <c r="F653" s="2" t="s">
        <v>201</v>
      </c>
      <c r="G653" s="2" t="s">
        <v>336</v>
      </c>
      <c r="H653" s="3">
        <v>43964</v>
      </c>
      <c r="I653" s="2" t="s">
        <v>142</v>
      </c>
      <c r="J653" s="2" t="s">
        <v>92</v>
      </c>
      <c r="K653" s="4">
        <v>2020</v>
      </c>
      <c r="L653" s="4">
        <v>2.673</v>
      </c>
      <c r="M653" s="4" t="s">
        <v>29</v>
      </c>
      <c r="N653" s="4" t="s">
        <v>54</v>
      </c>
      <c r="O653" s="4" t="s">
        <v>903</v>
      </c>
      <c r="P653" s="4">
        <v>196.46600000000001</v>
      </c>
      <c r="Q653" s="12" t="s">
        <v>904</v>
      </c>
      <c r="R653" s="4" t="s">
        <v>905</v>
      </c>
      <c r="S653" s="4">
        <v>16.038</v>
      </c>
      <c r="T653" s="4" t="s">
        <v>906</v>
      </c>
    </row>
    <row r="654" spans="1:20" ht="15" thickBot="1" x14ac:dyDescent="0.35">
      <c r="A654" s="2" t="s">
        <v>49</v>
      </c>
      <c r="B654" s="2" t="s">
        <v>59</v>
      </c>
      <c r="C654" s="2" t="s">
        <v>22</v>
      </c>
      <c r="D654" s="2" t="s">
        <v>181</v>
      </c>
      <c r="E654" s="2" t="s">
        <v>24</v>
      </c>
      <c r="F654" s="2" t="s">
        <v>182</v>
      </c>
      <c r="G654" s="2" t="s">
        <v>336</v>
      </c>
      <c r="H654" s="3">
        <v>44013</v>
      </c>
      <c r="I654" s="2" t="s">
        <v>62</v>
      </c>
      <c r="J654" s="2" t="s">
        <v>28</v>
      </c>
      <c r="K654" s="4">
        <v>2020</v>
      </c>
      <c r="L654" s="4">
        <v>1.4390000000000001</v>
      </c>
      <c r="M654" s="4" t="s">
        <v>29</v>
      </c>
      <c r="N654" s="4" t="s">
        <v>54</v>
      </c>
      <c r="O654" s="4">
        <v>755.47500000000002</v>
      </c>
      <c r="P654" s="4">
        <v>105.767</v>
      </c>
      <c r="Q654" s="12">
        <v>649.70899999999995</v>
      </c>
      <c r="R654" s="4" t="s">
        <v>907</v>
      </c>
      <c r="S654" s="4">
        <v>8.6340000000000003</v>
      </c>
      <c r="T654" s="4">
        <v>641.07500000000005</v>
      </c>
    </row>
    <row r="655" spans="1:20" ht="15" thickBot="1" x14ac:dyDescent="0.35">
      <c r="A655" s="2" t="s">
        <v>49</v>
      </c>
      <c r="B655" s="2" t="s">
        <v>44</v>
      </c>
      <c r="C655" s="2" t="s">
        <v>22</v>
      </c>
      <c r="D655" s="2" t="s">
        <v>200</v>
      </c>
      <c r="E655" s="2" t="s">
        <v>24</v>
      </c>
      <c r="F655" s="2" t="s">
        <v>201</v>
      </c>
      <c r="G655" s="2" t="s">
        <v>336</v>
      </c>
      <c r="H655" s="3">
        <v>44425</v>
      </c>
      <c r="I655" s="2" t="s">
        <v>53</v>
      </c>
      <c r="J655" s="2" t="s">
        <v>28</v>
      </c>
      <c r="K655" s="4">
        <v>2021</v>
      </c>
      <c r="L655" s="4">
        <v>240</v>
      </c>
      <c r="M655" s="4" t="s">
        <v>29</v>
      </c>
      <c r="N655" s="4" t="s">
        <v>54</v>
      </c>
      <c r="O655" s="4">
        <v>126</v>
      </c>
      <c r="P655" s="4">
        <v>17.64</v>
      </c>
      <c r="Q655" s="12">
        <v>108.36</v>
      </c>
      <c r="R655" s="4" t="s">
        <v>908</v>
      </c>
      <c r="S655" s="4">
        <v>1.44</v>
      </c>
      <c r="T655" s="4">
        <v>106.92</v>
      </c>
    </row>
    <row r="656" spans="1:20" ht="15" thickBot="1" x14ac:dyDescent="0.35">
      <c r="A656" s="2" t="s">
        <v>49</v>
      </c>
      <c r="B656" s="2" t="s">
        <v>44</v>
      </c>
      <c r="C656" s="2" t="s">
        <v>22</v>
      </c>
      <c r="D656" s="2" t="s">
        <v>200</v>
      </c>
      <c r="E656" s="2" t="s">
        <v>24</v>
      </c>
      <c r="F656" s="2" t="s">
        <v>201</v>
      </c>
      <c r="G656" s="2" t="s">
        <v>336</v>
      </c>
      <c r="H656" s="3">
        <v>44477</v>
      </c>
      <c r="I656" s="2" t="s">
        <v>115</v>
      </c>
      <c r="J656" s="2" t="s">
        <v>96</v>
      </c>
      <c r="K656" s="4">
        <v>2021</v>
      </c>
      <c r="L656" s="4">
        <v>466</v>
      </c>
      <c r="M656" s="4" t="s">
        <v>29</v>
      </c>
      <c r="N656" s="4" t="s">
        <v>116</v>
      </c>
      <c r="O656" s="4">
        <v>5.1260000000000003</v>
      </c>
      <c r="P656" s="4">
        <v>718</v>
      </c>
      <c r="Q656" s="12">
        <v>4.4080000000000004</v>
      </c>
      <c r="R656" s="5">
        <v>12451</v>
      </c>
      <c r="S656" s="4">
        <v>2.7959999999999998</v>
      </c>
      <c r="T656" s="4">
        <v>1.6120000000000001</v>
      </c>
    </row>
    <row r="657" spans="1:20" ht="15" thickBot="1" x14ac:dyDescent="0.35">
      <c r="A657" s="2" t="s">
        <v>33</v>
      </c>
      <c r="B657" s="2" t="s">
        <v>44</v>
      </c>
      <c r="C657" s="2" t="s">
        <v>22</v>
      </c>
      <c r="D657" s="2" t="s">
        <v>580</v>
      </c>
      <c r="E657" s="2" t="s">
        <v>24</v>
      </c>
      <c r="F657" s="2" t="s">
        <v>435</v>
      </c>
      <c r="G657" s="2" t="s">
        <v>336</v>
      </c>
      <c r="H657" s="3">
        <v>44231</v>
      </c>
      <c r="I657" s="2" t="s">
        <v>79</v>
      </c>
      <c r="J657" s="2" t="s">
        <v>40</v>
      </c>
      <c r="K657" s="4">
        <v>2021</v>
      </c>
      <c r="L657" s="4">
        <v>2.76</v>
      </c>
      <c r="M657" s="4" t="s">
        <v>29</v>
      </c>
      <c r="N657" s="4" t="s">
        <v>42</v>
      </c>
      <c r="O657" s="4">
        <v>63.48</v>
      </c>
      <c r="P657" s="4">
        <v>8.8870000000000005</v>
      </c>
      <c r="Q657" s="12">
        <v>54.593000000000004</v>
      </c>
      <c r="R657" s="4" t="s">
        <v>902</v>
      </c>
      <c r="S657" s="4">
        <v>16.559999999999999</v>
      </c>
      <c r="T657" s="4">
        <v>38.033000000000001</v>
      </c>
    </row>
    <row r="658" spans="1:20" ht="15" thickBot="1" x14ac:dyDescent="0.35">
      <c r="A658" s="2" t="s">
        <v>49</v>
      </c>
      <c r="B658" s="2" t="s">
        <v>74</v>
      </c>
      <c r="C658" s="2" t="s">
        <v>35</v>
      </c>
      <c r="D658" s="2" t="s">
        <v>191</v>
      </c>
      <c r="E658" s="2" t="s">
        <v>37</v>
      </c>
      <c r="F658" s="2" t="s">
        <v>192</v>
      </c>
      <c r="G658" s="2" t="s">
        <v>336</v>
      </c>
      <c r="H658" s="3">
        <v>44097</v>
      </c>
      <c r="I658" s="2" t="s">
        <v>27</v>
      </c>
      <c r="J658" s="2" t="s">
        <v>28</v>
      </c>
      <c r="K658" s="4">
        <v>2020</v>
      </c>
      <c r="L658" s="4">
        <v>312</v>
      </c>
      <c r="M658" s="4" t="s">
        <v>41</v>
      </c>
      <c r="N658" s="4" t="s">
        <v>165</v>
      </c>
      <c r="O658" s="4">
        <v>9.36</v>
      </c>
      <c r="P658" s="4">
        <v>1.31</v>
      </c>
      <c r="Q658" s="12">
        <v>8.0500000000000007</v>
      </c>
      <c r="R658" s="5">
        <v>17258</v>
      </c>
      <c r="S658" s="4">
        <v>3.7440000000000002</v>
      </c>
      <c r="T658" s="4">
        <v>4.306</v>
      </c>
    </row>
    <row r="659" spans="1:20" ht="29.4" thickBot="1" x14ac:dyDescent="0.35">
      <c r="A659" s="2" t="s">
        <v>58</v>
      </c>
      <c r="B659" s="2" t="s">
        <v>59</v>
      </c>
      <c r="C659" s="2" t="s">
        <v>35</v>
      </c>
      <c r="D659" s="2" t="s">
        <v>60</v>
      </c>
      <c r="E659" s="2" t="s">
        <v>37</v>
      </c>
      <c r="F659" s="2" t="s">
        <v>61</v>
      </c>
      <c r="G659" s="2" t="s">
        <v>336</v>
      </c>
      <c r="H659" s="3">
        <v>44526</v>
      </c>
      <c r="I659" s="2" t="s">
        <v>95</v>
      </c>
      <c r="J659" s="2" t="s">
        <v>96</v>
      </c>
      <c r="K659" s="4">
        <v>2021</v>
      </c>
      <c r="L659" s="4">
        <v>3.4969999999999999</v>
      </c>
      <c r="M659" s="4" t="s">
        <v>41</v>
      </c>
      <c r="N659" s="4" t="s">
        <v>63</v>
      </c>
      <c r="O659" s="4">
        <v>62.945999999999998</v>
      </c>
      <c r="P659" s="4">
        <v>8.8119999999999994</v>
      </c>
      <c r="Q659" s="12">
        <v>54.134</v>
      </c>
      <c r="R659" s="6">
        <v>45868</v>
      </c>
      <c r="S659" s="4">
        <v>41.963999999999999</v>
      </c>
      <c r="T659" s="4">
        <v>12.17</v>
      </c>
    </row>
    <row r="660" spans="1:20" ht="15" thickBot="1" x14ac:dyDescent="0.35">
      <c r="A660" s="2" t="s">
        <v>49</v>
      </c>
      <c r="B660" s="2" t="s">
        <v>50</v>
      </c>
      <c r="C660" s="2" t="s">
        <v>35</v>
      </c>
      <c r="D660" s="2" t="s">
        <v>233</v>
      </c>
      <c r="E660" s="2" t="s">
        <v>37</v>
      </c>
      <c r="F660" s="2" t="s">
        <v>234</v>
      </c>
      <c r="G660" s="2" t="s">
        <v>336</v>
      </c>
      <c r="H660" s="3">
        <v>44182</v>
      </c>
      <c r="I660" s="2" t="s">
        <v>100</v>
      </c>
      <c r="J660" s="2" t="s">
        <v>96</v>
      </c>
      <c r="K660" s="4">
        <v>2020</v>
      </c>
      <c r="L660" s="4">
        <v>2.077</v>
      </c>
      <c r="M660" s="4" t="s">
        <v>41</v>
      </c>
      <c r="N660" s="4" t="s">
        <v>116</v>
      </c>
      <c r="O660" s="4">
        <v>22.847000000000001</v>
      </c>
      <c r="P660" s="4">
        <v>3.1989999999999998</v>
      </c>
      <c r="Q660" s="12">
        <v>19.648</v>
      </c>
      <c r="R660" s="5">
        <v>15615</v>
      </c>
      <c r="S660" s="4">
        <v>24.923999999999999</v>
      </c>
      <c r="T660" s="4">
        <v>-5.2759999999999998</v>
      </c>
    </row>
    <row r="661" spans="1:20" ht="15" thickBot="1" x14ac:dyDescent="0.35">
      <c r="A661" s="2" t="s">
        <v>49</v>
      </c>
      <c r="B661" s="2" t="s">
        <v>50</v>
      </c>
      <c r="C661" s="2" t="s">
        <v>35</v>
      </c>
      <c r="D661" s="2" t="s">
        <v>51</v>
      </c>
      <c r="E661" s="2" t="s">
        <v>37</v>
      </c>
      <c r="F661" s="2" t="s">
        <v>52</v>
      </c>
      <c r="G661" s="2" t="s">
        <v>336</v>
      </c>
      <c r="H661" s="3">
        <v>44022</v>
      </c>
      <c r="I661" s="2" t="s">
        <v>62</v>
      </c>
      <c r="J661" s="2" t="s">
        <v>28</v>
      </c>
      <c r="K661" s="4">
        <v>2020</v>
      </c>
      <c r="L661" s="4">
        <v>840</v>
      </c>
      <c r="M661" s="4" t="s">
        <v>41</v>
      </c>
      <c r="N661" s="4" t="s">
        <v>54</v>
      </c>
      <c r="O661" s="4">
        <v>441</v>
      </c>
      <c r="P661" s="4">
        <v>61.74</v>
      </c>
      <c r="Q661" s="12">
        <v>379.26</v>
      </c>
      <c r="R661" s="4" t="s">
        <v>909</v>
      </c>
      <c r="S661" s="4">
        <v>10.08</v>
      </c>
      <c r="T661" s="4">
        <v>369.18</v>
      </c>
    </row>
    <row r="662" spans="1:20" ht="15" thickBot="1" x14ac:dyDescent="0.35">
      <c r="A662" s="2" t="s">
        <v>49</v>
      </c>
      <c r="B662" s="2" t="s">
        <v>44</v>
      </c>
      <c r="C662" s="2" t="s">
        <v>35</v>
      </c>
      <c r="D662" s="2" t="s">
        <v>150</v>
      </c>
      <c r="E662" s="2" t="s">
        <v>37</v>
      </c>
      <c r="F662" s="2" t="s">
        <v>151</v>
      </c>
      <c r="G662" s="2" t="s">
        <v>336</v>
      </c>
      <c r="H662" s="3">
        <v>44178</v>
      </c>
      <c r="I662" s="2" t="s">
        <v>100</v>
      </c>
      <c r="J662" s="2" t="s">
        <v>96</v>
      </c>
      <c r="K662" s="4">
        <v>2020</v>
      </c>
      <c r="L662" s="4">
        <v>1.4119999999999999</v>
      </c>
      <c r="M662" s="4" t="s">
        <v>41</v>
      </c>
      <c r="N662" s="4" t="s">
        <v>54</v>
      </c>
      <c r="O662" s="4">
        <v>741.3</v>
      </c>
      <c r="P662" s="4">
        <v>103.782</v>
      </c>
      <c r="Q662" s="12">
        <v>637.51800000000003</v>
      </c>
      <c r="R662" s="4" t="s">
        <v>910</v>
      </c>
      <c r="S662" s="4">
        <v>16.943999999999999</v>
      </c>
      <c r="T662" s="4">
        <v>620.57399999999996</v>
      </c>
    </row>
    <row r="663" spans="1:20" ht="15" thickBot="1" x14ac:dyDescent="0.35">
      <c r="A663" s="2" t="s">
        <v>20</v>
      </c>
      <c r="B663" s="2" t="s">
        <v>64</v>
      </c>
      <c r="C663" s="2" t="s">
        <v>69</v>
      </c>
      <c r="D663" s="2" t="s">
        <v>161</v>
      </c>
      <c r="E663" s="2" t="s">
        <v>71</v>
      </c>
      <c r="F663" s="2" t="s">
        <v>162</v>
      </c>
      <c r="G663" s="2" t="s">
        <v>336</v>
      </c>
      <c r="H663" s="3">
        <v>44477</v>
      </c>
      <c r="I663" s="2" t="s">
        <v>115</v>
      </c>
      <c r="J663" s="2" t="s">
        <v>96</v>
      </c>
      <c r="K663" s="4">
        <v>2021</v>
      </c>
      <c r="L663" s="4">
        <v>1.89</v>
      </c>
      <c r="M663" s="4" t="s">
        <v>73</v>
      </c>
      <c r="N663" s="4" t="s">
        <v>30</v>
      </c>
      <c r="O663" s="4">
        <v>355.32</v>
      </c>
      <c r="P663" s="4">
        <v>49.744999999999997</v>
      </c>
      <c r="Q663" s="12">
        <v>305.57499999999999</v>
      </c>
      <c r="R663" s="4" t="s">
        <v>911</v>
      </c>
      <c r="S663" s="4">
        <v>279.72000000000003</v>
      </c>
      <c r="T663" s="4">
        <v>25.855</v>
      </c>
    </row>
    <row r="664" spans="1:20" ht="15" thickBot="1" x14ac:dyDescent="0.35">
      <c r="A664" s="2" t="s">
        <v>49</v>
      </c>
      <c r="B664" s="2" t="s">
        <v>21</v>
      </c>
      <c r="C664" s="2" t="s">
        <v>69</v>
      </c>
      <c r="D664" s="2" t="s">
        <v>194</v>
      </c>
      <c r="E664" s="2" t="s">
        <v>71</v>
      </c>
      <c r="F664" s="2" t="s">
        <v>195</v>
      </c>
      <c r="G664" s="2" t="s">
        <v>336</v>
      </c>
      <c r="H664" s="3">
        <v>44453</v>
      </c>
      <c r="I664" s="2" t="s">
        <v>27</v>
      </c>
      <c r="J664" s="2" t="s">
        <v>28</v>
      </c>
      <c r="K664" s="4">
        <v>2021</v>
      </c>
      <c r="L664" s="4">
        <v>727</v>
      </c>
      <c r="M664" s="4">
        <v>148</v>
      </c>
      <c r="N664" s="4">
        <v>30</v>
      </c>
      <c r="O664" s="4">
        <v>21.81</v>
      </c>
      <c r="P664" s="4">
        <v>3.0529999999999999</v>
      </c>
      <c r="Q664" s="12">
        <v>18.757000000000001</v>
      </c>
      <c r="R664" s="4">
        <v>10</v>
      </c>
      <c r="S664" s="4">
        <v>107.596</v>
      </c>
      <c r="T664" s="4">
        <v>-88.838999999999999</v>
      </c>
    </row>
    <row r="665" spans="1:20" ht="29.4" thickBot="1" x14ac:dyDescent="0.35">
      <c r="A665" s="2" t="s">
        <v>43</v>
      </c>
      <c r="B665" s="2" t="s">
        <v>64</v>
      </c>
      <c r="C665" s="2" t="s">
        <v>69</v>
      </c>
      <c r="D665" s="2" t="s">
        <v>342</v>
      </c>
      <c r="E665" s="2" t="s">
        <v>71</v>
      </c>
      <c r="F665" s="2" t="s">
        <v>225</v>
      </c>
      <c r="G665" s="2" t="s">
        <v>336</v>
      </c>
      <c r="H665" s="3">
        <v>43850</v>
      </c>
      <c r="I665" s="2" t="s">
        <v>39</v>
      </c>
      <c r="J665" s="2" t="s">
        <v>40</v>
      </c>
      <c r="K665" s="4">
        <v>2020</v>
      </c>
      <c r="L665" s="4">
        <v>2.952</v>
      </c>
      <c r="M665" s="4">
        <v>148</v>
      </c>
      <c r="N665" s="4">
        <v>450</v>
      </c>
      <c r="O665" s="4" t="s">
        <v>708</v>
      </c>
      <c r="P665" s="4">
        <v>185.976</v>
      </c>
      <c r="Q665" s="12" t="s">
        <v>912</v>
      </c>
      <c r="R665" s="4">
        <v>635</v>
      </c>
      <c r="S665" s="4">
        <v>436.89600000000002</v>
      </c>
      <c r="T665" s="4">
        <v>705.52800000000002</v>
      </c>
    </row>
    <row r="666" spans="1:20" ht="15" thickBot="1" x14ac:dyDescent="0.35">
      <c r="A666" s="2" t="s">
        <v>49</v>
      </c>
      <c r="B666" s="2" t="s">
        <v>34</v>
      </c>
      <c r="C666" s="2" t="s">
        <v>75</v>
      </c>
      <c r="D666" s="2" t="s">
        <v>171</v>
      </c>
      <c r="E666" s="2" t="s">
        <v>77</v>
      </c>
      <c r="F666" s="2" t="s">
        <v>172</v>
      </c>
      <c r="G666" s="2" t="s">
        <v>336</v>
      </c>
      <c r="H666" s="3">
        <v>44234</v>
      </c>
      <c r="I666" s="2" t="s">
        <v>79</v>
      </c>
      <c r="J666" s="2" t="s">
        <v>40</v>
      </c>
      <c r="K666" s="4">
        <v>2021</v>
      </c>
      <c r="L666" s="4">
        <v>3.484</v>
      </c>
      <c r="M666" s="4">
        <v>308</v>
      </c>
      <c r="N666" s="4">
        <v>11</v>
      </c>
      <c r="O666" s="4">
        <v>38.323999999999998</v>
      </c>
      <c r="P666" s="4">
        <v>5.3650000000000002</v>
      </c>
      <c r="Q666" s="12">
        <v>32.959000000000003</v>
      </c>
      <c r="R666" s="4">
        <v>17</v>
      </c>
      <c r="S666" s="4" t="s">
        <v>913</v>
      </c>
      <c r="T666" s="4" t="s">
        <v>914</v>
      </c>
    </row>
    <row r="667" spans="1:20" ht="29.4" thickBot="1" x14ac:dyDescent="0.35">
      <c r="A667" s="2" t="s">
        <v>43</v>
      </c>
      <c r="B667" s="2" t="s">
        <v>44</v>
      </c>
      <c r="C667" s="2" t="s">
        <v>75</v>
      </c>
      <c r="D667" s="2" t="s">
        <v>309</v>
      </c>
      <c r="E667" s="2" t="s">
        <v>77</v>
      </c>
      <c r="F667" s="2" t="s">
        <v>310</v>
      </c>
      <c r="G667" s="2" t="s">
        <v>336</v>
      </c>
      <c r="H667" s="3">
        <v>44021</v>
      </c>
      <c r="I667" s="2" t="s">
        <v>62</v>
      </c>
      <c r="J667" s="2" t="s">
        <v>28</v>
      </c>
      <c r="K667" s="4">
        <v>2020</v>
      </c>
      <c r="L667" s="4">
        <v>3.0489999999999999</v>
      </c>
      <c r="M667" s="4">
        <v>308</v>
      </c>
      <c r="N667" s="4">
        <v>450</v>
      </c>
      <c r="O667" s="4" t="s">
        <v>915</v>
      </c>
      <c r="P667" s="4">
        <v>192.08699999999999</v>
      </c>
      <c r="Q667" s="12" t="s">
        <v>916</v>
      </c>
      <c r="R667" s="4">
        <v>656</v>
      </c>
      <c r="S667" s="4">
        <v>939.09199999999998</v>
      </c>
      <c r="T667" s="4">
        <v>240.87100000000001</v>
      </c>
    </row>
    <row r="668" spans="1:20" ht="29.4" thickBot="1" x14ac:dyDescent="0.35">
      <c r="A668" s="2" t="s">
        <v>43</v>
      </c>
      <c r="B668" s="2" t="s">
        <v>68</v>
      </c>
      <c r="C668" s="2" t="s">
        <v>75</v>
      </c>
      <c r="D668" s="2" t="s">
        <v>265</v>
      </c>
      <c r="E668" s="2" t="s">
        <v>77</v>
      </c>
      <c r="F668" s="2" t="s">
        <v>266</v>
      </c>
      <c r="G668" s="2" t="s">
        <v>336</v>
      </c>
      <c r="H668" s="3">
        <v>44433</v>
      </c>
      <c r="I668" s="2" t="s">
        <v>53</v>
      </c>
      <c r="J668" s="2" t="s">
        <v>28</v>
      </c>
      <c r="K668" s="4">
        <v>2021</v>
      </c>
      <c r="L668" s="4">
        <v>1.7949999999999999</v>
      </c>
      <c r="M668" s="4">
        <v>308</v>
      </c>
      <c r="N668" s="4">
        <v>450</v>
      </c>
      <c r="O668" s="4">
        <v>807.75</v>
      </c>
      <c r="P668" s="4">
        <v>113.08499999999999</v>
      </c>
      <c r="Q668" s="12">
        <v>694.66499999999996</v>
      </c>
      <c r="R668" s="4">
        <v>386</v>
      </c>
      <c r="S668" s="4">
        <v>552.86</v>
      </c>
      <c r="T668" s="4">
        <v>141.80500000000001</v>
      </c>
    </row>
    <row r="669" spans="1:20" ht="29.4" thickBot="1" x14ac:dyDescent="0.35">
      <c r="A669" s="2" t="s">
        <v>43</v>
      </c>
      <c r="B669" s="2" t="s">
        <v>44</v>
      </c>
      <c r="C669" s="2" t="s">
        <v>75</v>
      </c>
      <c r="D669" s="2" t="s">
        <v>309</v>
      </c>
      <c r="E669" s="2" t="s">
        <v>77</v>
      </c>
      <c r="F669" s="2" t="s">
        <v>310</v>
      </c>
      <c r="G669" s="2" t="s">
        <v>336</v>
      </c>
      <c r="H669" s="3">
        <v>44332</v>
      </c>
      <c r="I669" s="2" t="s">
        <v>142</v>
      </c>
      <c r="J669" s="2" t="s">
        <v>92</v>
      </c>
      <c r="K669" s="4">
        <v>2021</v>
      </c>
      <c r="L669" s="4">
        <v>1.212</v>
      </c>
      <c r="M669" s="4">
        <v>308</v>
      </c>
      <c r="N669" s="4">
        <v>450</v>
      </c>
      <c r="O669" s="4">
        <v>545.4</v>
      </c>
      <c r="P669" s="4">
        <v>76.355999999999995</v>
      </c>
      <c r="Q669" s="12">
        <v>469.04399999999998</v>
      </c>
      <c r="R669" s="4">
        <v>261</v>
      </c>
      <c r="S669" s="4">
        <v>373.29599999999999</v>
      </c>
      <c r="T669" s="4">
        <v>95.748000000000005</v>
      </c>
    </row>
    <row r="670" spans="1:20" ht="29.4" thickBot="1" x14ac:dyDescent="0.35">
      <c r="A670" s="2" t="s">
        <v>43</v>
      </c>
      <c r="B670" s="2" t="s">
        <v>74</v>
      </c>
      <c r="C670" s="2" t="s">
        <v>120</v>
      </c>
      <c r="D670" s="2" t="s">
        <v>544</v>
      </c>
      <c r="E670" s="2" t="s">
        <v>122</v>
      </c>
      <c r="F670" s="2" t="s">
        <v>414</v>
      </c>
      <c r="G670" s="2" t="s">
        <v>336</v>
      </c>
      <c r="H670" s="3">
        <v>44141</v>
      </c>
      <c r="I670" s="2" t="s">
        <v>95</v>
      </c>
      <c r="J670" s="2" t="s">
        <v>96</v>
      </c>
      <c r="K670" s="4">
        <v>2020</v>
      </c>
      <c r="L670" s="4">
        <v>1.0660000000000001</v>
      </c>
      <c r="M670" s="4">
        <v>320</v>
      </c>
      <c r="N670" s="4">
        <v>450</v>
      </c>
      <c r="O670" s="4">
        <v>479.7</v>
      </c>
      <c r="P670" s="4">
        <v>67.158000000000001</v>
      </c>
      <c r="Q670" s="12">
        <v>412.54199999999997</v>
      </c>
      <c r="R670" s="4">
        <v>229</v>
      </c>
      <c r="S670" s="4">
        <v>341.12</v>
      </c>
      <c r="T670" s="4">
        <v>71.421999999999997</v>
      </c>
    </row>
    <row r="671" spans="1:20" ht="15" thickBot="1" x14ac:dyDescent="0.35">
      <c r="A671" s="2" t="s">
        <v>20</v>
      </c>
      <c r="B671" s="2" t="s">
        <v>50</v>
      </c>
      <c r="C671" s="2" t="s">
        <v>120</v>
      </c>
      <c r="D671" s="2" t="s">
        <v>792</v>
      </c>
      <c r="E671" s="2" t="s">
        <v>122</v>
      </c>
      <c r="F671" s="2" t="s">
        <v>313</v>
      </c>
      <c r="G671" s="2" t="s">
        <v>336</v>
      </c>
      <c r="H671" s="3">
        <v>44093</v>
      </c>
      <c r="I671" s="2" t="s">
        <v>27</v>
      </c>
      <c r="J671" s="2" t="s">
        <v>28</v>
      </c>
      <c r="K671" s="4">
        <v>2020</v>
      </c>
      <c r="L671" s="4">
        <v>3.4129999999999998</v>
      </c>
      <c r="M671" s="4">
        <v>320</v>
      </c>
      <c r="N671" s="4">
        <v>188</v>
      </c>
      <c r="O671" s="4">
        <v>641.64400000000001</v>
      </c>
      <c r="P671" s="4">
        <v>89.83</v>
      </c>
      <c r="Q671" s="12">
        <v>551.81399999999996</v>
      </c>
      <c r="R671" s="4">
        <v>306</v>
      </c>
      <c r="S671" s="4" t="s">
        <v>917</v>
      </c>
      <c r="T671" s="4">
        <v>-540.346</v>
      </c>
    </row>
    <row r="672" spans="1:20" ht="29.4" thickBot="1" x14ac:dyDescent="0.35">
      <c r="A672" s="2" t="s">
        <v>58</v>
      </c>
      <c r="B672" s="2" t="s">
        <v>44</v>
      </c>
      <c r="C672" s="2" t="s">
        <v>120</v>
      </c>
      <c r="D672" s="2" t="s">
        <v>332</v>
      </c>
      <c r="E672" s="2" t="s">
        <v>122</v>
      </c>
      <c r="F672" s="2" t="s">
        <v>333</v>
      </c>
      <c r="G672" s="2" t="s">
        <v>336</v>
      </c>
      <c r="H672" s="3">
        <v>43992</v>
      </c>
      <c r="I672" s="2" t="s">
        <v>205</v>
      </c>
      <c r="J672" s="2" t="s">
        <v>92</v>
      </c>
      <c r="K672" s="4">
        <v>2020</v>
      </c>
      <c r="L672" s="4">
        <v>2.97</v>
      </c>
      <c r="M672" s="4">
        <v>320</v>
      </c>
      <c r="N672" s="4">
        <v>18</v>
      </c>
      <c r="O672" s="4">
        <v>53.46</v>
      </c>
      <c r="P672" s="4">
        <v>7.484</v>
      </c>
      <c r="Q672" s="12">
        <v>45.975999999999999</v>
      </c>
      <c r="R672" s="4">
        <v>26</v>
      </c>
      <c r="S672" s="4">
        <v>950.4</v>
      </c>
      <c r="T672" s="4">
        <v>-904.42399999999998</v>
      </c>
    </row>
    <row r="673" spans="1:20" ht="29.4" thickBot="1" x14ac:dyDescent="0.35">
      <c r="A673" s="2" t="s">
        <v>58</v>
      </c>
      <c r="B673" s="2" t="s">
        <v>34</v>
      </c>
      <c r="C673" s="2" t="s">
        <v>120</v>
      </c>
      <c r="D673" s="2" t="s">
        <v>121</v>
      </c>
      <c r="E673" s="2" t="s">
        <v>122</v>
      </c>
      <c r="F673" s="2" t="s">
        <v>123</v>
      </c>
      <c r="G673" s="2" t="s">
        <v>336</v>
      </c>
      <c r="H673" s="3">
        <v>44363</v>
      </c>
      <c r="I673" s="2" t="s">
        <v>205</v>
      </c>
      <c r="J673" s="2" t="s">
        <v>92</v>
      </c>
      <c r="K673" s="4">
        <v>2021</v>
      </c>
      <c r="L673" s="4">
        <v>3.4969999999999999</v>
      </c>
      <c r="M673" s="4">
        <v>320</v>
      </c>
      <c r="N673" s="4">
        <v>18</v>
      </c>
      <c r="O673" s="4">
        <v>62.945999999999998</v>
      </c>
      <c r="P673" s="4">
        <v>8.8119999999999994</v>
      </c>
      <c r="Q673" s="12">
        <v>54.134</v>
      </c>
      <c r="R673" s="4">
        <v>30</v>
      </c>
      <c r="S673" s="4" t="s">
        <v>918</v>
      </c>
      <c r="T673" s="4" t="s">
        <v>919</v>
      </c>
    </row>
    <row r="674" spans="1:20" ht="15" thickBot="1" x14ac:dyDescent="0.35">
      <c r="A674" s="2" t="s">
        <v>49</v>
      </c>
      <c r="B674" s="2" t="s">
        <v>21</v>
      </c>
      <c r="C674" s="2" t="s">
        <v>120</v>
      </c>
      <c r="D674" s="2" t="s">
        <v>272</v>
      </c>
      <c r="E674" s="2" t="s">
        <v>122</v>
      </c>
      <c r="F674" s="2" t="s">
        <v>273</v>
      </c>
      <c r="G674" s="2" t="s">
        <v>336</v>
      </c>
      <c r="H674" s="3">
        <v>43939</v>
      </c>
      <c r="I674" s="2" t="s">
        <v>91</v>
      </c>
      <c r="J674" s="2" t="s">
        <v>92</v>
      </c>
      <c r="K674" s="4">
        <v>2020</v>
      </c>
      <c r="L674" s="4">
        <v>2.077</v>
      </c>
      <c r="M674" s="4">
        <v>320</v>
      </c>
      <c r="N674" s="4">
        <v>11</v>
      </c>
      <c r="O674" s="4">
        <v>22.847000000000001</v>
      </c>
      <c r="P674" s="4">
        <v>3.1989999999999998</v>
      </c>
      <c r="Q674" s="12">
        <v>19.648</v>
      </c>
      <c r="R674" s="4">
        <v>10</v>
      </c>
      <c r="S674" s="4">
        <v>664.64</v>
      </c>
      <c r="T674" s="4">
        <v>-644.99199999999996</v>
      </c>
    </row>
    <row r="675" spans="1:20" ht="15" thickBot="1" x14ac:dyDescent="0.35">
      <c r="A675" s="2" t="s">
        <v>20</v>
      </c>
      <c r="B675" s="2" t="s">
        <v>59</v>
      </c>
      <c r="C675" s="2" t="s">
        <v>82</v>
      </c>
      <c r="D675" s="2" t="s">
        <v>337</v>
      </c>
      <c r="E675" s="2" t="s">
        <v>84</v>
      </c>
      <c r="F675" s="2" t="s">
        <v>338</v>
      </c>
      <c r="G675" s="2" t="s">
        <v>336</v>
      </c>
      <c r="H675" s="3">
        <v>44349</v>
      </c>
      <c r="I675" s="2" t="s">
        <v>205</v>
      </c>
      <c r="J675" s="2" t="s">
        <v>92</v>
      </c>
      <c r="K675" s="4">
        <v>2021</v>
      </c>
      <c r="L675" s="4">
        <v>1.409</v>
      </c>
      <c r="M675" s="4">
        <v>4</v>
      </c>
      <c r="N675" s="4">
        <v>188</v>
      </c>
      <c r="O675" s="4">
        <v>264.892</v>
      </c>
      <c r="P675" s="4">
        <v>39.734000000000002</v>
      </c>
      <c r="Q675" s="12">
        <v>225.15799999999999</v>
      </c>
      <c r="R675" s="4">
        <v>125</v>
      </c>
      <c r="S675" s="4">
        <v>5.6360000000000001</v>
      </c>
      <c r="T675" s="4">
        <v>219.52199999999999</v>
      </c>
    </row>
    <row r="676" spans="1:20" ht="15" thickBot="1" x14ac:dyDescent="0.35">
      <c r="A676" s="2" t="s">
        <v>20</v>
      </c>
      <c r="B676" s="2" t="s">
        <v>34</v>
      </c>
      <c r="C676" s="2" t="s">
        <v>82</v>
      </c>
      <c r="D676" s="2" t="s">
        <v>250</v>
      </c>
      <c r="E676" s="2" t="s">
        <v>84</v>
      </c>
      <c r="F676" s="2" t="s">
        <v>251</v>
      </c>
      <c r="G676" s="2" t="s">
        <v>336</v>
      </c>
      <c r="H676" s="3">
        <v>44561</v>
      </c>
      <c r="I676" s="2" t="s">
        <v>100</v>
      </c>
      <c r="J676" s="2" t="s">
        <v>96</v>
      </c>
      <c r="K676" s="4">
        <v>2021</v>
      </c>
      <c r="L676" s="4">
        <v>3.32</v>
      </c>
      <c r="M676" s="4">
        <v>4</v>
      </c>
      <c r="N676" s="4">
        <v>188</v>
      </c>
      <c r="O676" s="4">
        <v>624.16</v>
      </c>
      <c r="P676" s="4">
        <v>93.623999999999995</v>
      </c>
      <c r="Q676" s="12">
        <v>530.53599999999994</v>
      </c>
      <c r="R676" s="4">
        <v>294</v>
      </c>
      <c r="S676" s="4">
        <v>13.28</v>
      </c>
      <c r="T676" s="4">
        <v>517.25599999999997</v>
      </c>
    </row>
    <row r="677" spans="1:20" ht="15" thickBot="1" x14ac:dyDescent="0.35">
      <c r="A677" s="2" t="s">
        <v>20</v>
      </c>
      <c r="B677" s="2" t="s">
        <v>34</v>
      </c>
      <c r="C677" s="2" t="s">
        <v>82</v>
      </c>
      <c r="D677" s="2" t="s">
        <v>250</v>
      </c>
      <c r="E677" s="2" t="s">
        <v>84</v>
      </c>
      <c r="F677" s="2" t="s">
        <v>251</v>
      </c>
      <c r="G677" s="2" t="s">
        <v>336</v>
      </c>
      <c r="H677" s="3">
        <v>44365</v>
      </c>
      <c r="I677" s="2" t="s">
        <v>205</v>
      </c>
      <c r="J677" s="2" t="s">
        <v>92</v>
      </c>
      <c r="K677" s="4">
        <v>2021</v>
      </c>
      <c r="L677" s="4">
        <v>1.302</v>
      </c>
      <c r="M677" s="4">
        <v>4</v>
      </c>
      <c r="N677" s="4">
        <v>188</v>
      </c>
      <c r="O677" s="4">
        <v>244.77600000000001</v>
      </c>
      <c r="P677" s="4">
        <v>36.716000000000001</v>
      </c>
      <c r="Q677" s="12">
        <v>208.06</v>
      </c>
      <c r="R677" s="4">
        <v>115</v>
      </c>
      <c r="S677" s="4">
        <v>5.2080000000000002</v>
      </c>
      <c r="T677" s="4">
        <v>202.852</v>
      </c>
    </row>
    <row r="678" spans="1:20" ht="29.4" thickBot="1" x14ac:dyDescent="0.35">
      <c r="A678" s="2" t="s">
        <v>43</v>
      </c>
      <c r="B678" s="2" t="s">
        <v>34</v>
      </c>
      <c r="C678" s="2" t="s">
        <v>22</v>
      </c>
      <c r="D678" s="2" t="s">
        <v>224</v>
      </c>
      <c r="E678" s="2" t="s">
        <v>24</v>
      </c>
      <c r="F678" s="2" t="s">
        <v>225</v>
      </c>
      <c r="G678" s="2" t="s">
        <v>336</v>
      </c>
      <c r="H678" s="3">
        <v>44210</v>
      </c>
      <c r="I678" s="2" t="s">
        <v>39</v>
      </c>
      <c r="J678" s="2" t="s">
        <v>40</v>
      </c>
      <c r="K678" s="4">
        <v>2021</v>
      </c>
      <c r="L678" s="4">
        <v>655</v>
      </c>
      <c r="M678" s="4">
        <v>6</v>
      </c>
      <c r="N678" s="4">
        <v>450</v>
      </c>
      <c r="O678" s="4">
        <v>294.75</v>
      </c>
      <c r="P678" s="4">
        <v>44.213000000000001</v>
      </c>
      <c r="Q678" s="12">
        <v>250.53800000000001</v>
      </c>
      <c r="R678" s="4">
        <v>139</v>
      </c>
      <c r="S678" s="4">
        <v>3.93</v>
      </c>
      <c r="T678" s="4">
        <v>246.608</v>
      </c>
    </row>
    <row r="679" spans="1:20" ht="15" thickBot="1" x14ac:dyDescent="0.35">
      <c r="A679" s="2" t="s">
        <v>49</v>
      </c>
      <c r="B679" s="2" t="s">
        <v>74</v>
      </c>
      <c r="C679" s="2" t="s">
        <v>35</v>
      </c>
      <c r="D679" s="2" t="s">
        <v>293</v>
      </c>
      <c r="E679" s="2" t="s">
        <v>37</v>
      </c>
      <c r="F679" s="2" t="s">
        <v>294</v>
      </c>
      <c r="G679" s="2" t="s">
        <v>336</v>
      </c>
      <c r="H679" s="3">
        <v>44334</v>
      </c>
      <c r="I679" s="2" t="s">
        <v>142</v>
      </c>
      <c r="J679" s="2" t="s">
        <v>92</v>
      </c>
      <c r="K679" s="4">
        <v>2021</v>
      </c>
      <c r="L679" s="4">
        <v>1.39</v>
      </c>
      <c r="M679" s="4">
        <v>12</v>
      </c>
      <c r="N679" s="4">
        <v>30</v>
      </c>
      <c r="O679" s="4">
        <v>41.7</v>
      </c>
      <c r="P679" s="4">
        <v>6.2549999999999999</v>
      </c>
      <c r="Q679" s="12">
        <v>35.445</v>
      </c>
      <c r="R679" s="4">
        <v>20</v>
      </c>
      <c r="S679" s="4">
        <v>16.68</v>
      </c>
      <c r="T679" s="4">
        <v>18.765000000000001</v>
      </c>
    </row>
    <row r="680" spans="1:20" ht="15" thickBot="1" x14ac:dyDescent="0.35">
      <c r="A680" s="2" t="s">
        <v>33</v>
      </c>
      <c r="B680" s="2" t="s">
        <v>64</v>
      </c>
      <c r="C680" s="2" t="s">
        <v>35</v>
      </c>
      <c r="D680" s="2" t="s">
        <v>65</v>
      </c>
      <c r="E680" s="2" t="s">
        <v>37</v>
      </c>
      <c r="F680" s="2" t="s">
        <v>66</v>
      </c>
      <c r="G680" s="2" t="s">
        <v>336</v>
      </c>
      <c r="H680" s="3">
        <v>44479</v>
      </c>
      <c r="I680" s="2" t="s">
        <v>115</v>
      </c>
      <c r="J680" s="2" t="s">
        <v>96</v>
      </c>
      <c r="K680" s="4">
        <v>2021</v>
      </c>
      <c r="L680" s="4">
        <v>1.9370000000000001</v>
      </c>
      <c r="M680" s="4">
        <v>12</v>
      </c>
      <c r="N680" s="4">
        <v>23</v>
      </c>
      <c r="O680" s="4">
        <v>44.551000000000002</v>
      </c>
      <c r="P680" s="4">
        <v>6.6829999999999998</v>
      </c>
      <c r="Q680" s="12">
        <v>37.868000000000002</v>
      </c>
      <c r="R680" s="4">
        <v>21</v>
      </c>
      <c r="S680" s="4">
        <v>23.244</v>
      </c>
      <c r="T680" s="4">
        <v>14.624000000000001</v>
      </c>
    </row>
    <row r="681" spans="1:20" ht="15" thickBot="1" x14ac:dyDescent="0.35">
      <c r="A681" s="2" t="s">
        <v>49</v>
      </c>
      <c r="B681" s="2" t="s">
        <v>74</v>
      </c>
      <c r="C681" s="2" t="s">
        <v>35</v>
      </c>
      <c r="D681" s="2" t="s">
        <v>191</v>
      </c>
      <c r="E681" s="2" t="s">
        <v>37</v>
      </c>
      <c r="F681" s="2" t="s">
        <v>192</v>
      </c>
      <c r="G681" s="2" t="s">
        <v>336</v>
      </c>
      <c r="H681" s="3">
        <v>44276</v>
      </c>
      <c r="I681" s="2" t="s">
        <v>112</v>
      </c>
      <c r="J681" s="2" t="s">
        <v>40</v>
      </c>
      <c r="K681" s="4">
        <v>2021</v>
      </c>
      <c r="L681" s="4">
        <v>3.0419999999999998</v>
      </c>
      <c r="M681" s="4">
        <v>12</v>
      </c>
      <c r="N681" s="4">
        <v>11</v>
      </c>
      <c r="O681" s="4">
        <v>33.462000000000003</v>
      </c>
      <c r="P681" s="4">
        <v>5.0190000000000001</v>
      </c>
      <c r="Q681" s="12">
        <v>28.443000000000001</v>
      </c>
      <c r="R681" s="4">
        <v>15</v>
      </c>
      <c r="S681" s="4">
        <v>36.503999999999998</v>
      </c>
      <c r="T681" s="4">
        <v>-8.0609999999999999</v>
      </c>
    </row>
    <row r="682" spans="1:20" ht="15" thickBot="1" x14ac:dyDescent="0.35">
      <c r="A682" s="2" t="s">
        <v>49</v>
      </c>
      <c r="B682" s="2" t="s">
        <v>74</v>
      </c>
      <c r="C682" s="2" t="s">
        <v>35</v>
      </c>
      <c r="D682" s="2" t="s">
        <v>191</v>
      </c>
      <c r="E682" s="2" t="s">
        <v>37</v>
      </c>
      <c r="F682" s="2" t="s">
        <v>192</v>
      </c>
      <c r="G682" s="2" t="s">
        <v>336</v>
      </c>
      <c r="H682" s="3">
        <v>43903</v>
      </c>
      <c r="I682" s="2" t="s">
        <v>112</v>
      </c>
      <c r="J682" s="2" t="s">
        <v>40</v>
      </c>
      <c r="K682" s="4">
        <v>2020</v>
      </c>
      <c r="L682" s="4">
        <v>3.4209999999999998</v>
      </c>
      <c r="M682" s="4">
        <v>12</v>
      </c>
      <c r="N682" s="4">
        <v>525</v>
      </c>
      <c r="O682" s="4" t="s">
        <v>920</v>
      </c>
      <c r="P682" s="4">
        <v>269.404</v>
      </c>
      <c r="Q682" s="12" t="s">
        <v>921</v>
      </c>
      <c r="R682" s="4">
        <v>848</v>
      </c>
      <c r="S682" s="4">
        <v>41.052</v>
      </c>
      <c r="T682" s="4" t="s">
        <v>922</v>
      </c>
    </row>
    <row r="683" spans="1:20" ht="15" thickBot="1" x14ac:dyDescent="0.35">
      <c r="A683" s="2" t="s">
        <v>33</v>
      </c>
      <c r="B683" s="2" t="s">
        <v>64</v>
      </c>
      <c r="C683" s="2" t="s">
        <v>35</v>
      </c>
      <c r="D683" s="2" t="s">
        <v>65</v>
      </c>
      <c r="E683" s="2" t="s">
        <v>37</v>
      </c>
      <c r="F683" s="2" t="s">
        <v>66</v>
      </c>
      <c r="G683" s="2" t="s">
        <v>336</v>
      </c>
      <c r="H683" s="3">
        <v>44475</v>
      </c>
      <c r="I683" s="2" t="s">
        <v>115</v>
      </c>
      <c r="J683" s="2" t="s">
        <v>96</v>
      </c>
      <c r="K683" s="4">
        <v>2021</v>
      </c>
      <c r="L683" s="4">
        <v>3.0710000000000002</v>
      </c>
      <c r="M683" s="4">
        <v>12</v>
      </c>
      <c r="N683" s="4">
        <v>23</v>
      </c>
      <c r="O683" s="4">
        <v>70.632999999999996</v>
      </c>
      <c r="P683" s="4">
        <v>10.595000000000001</v>
      </c>
      <c r="Q683" s="12">
        <v>60.037999999999997</v>
      </c>
      <c r="R683" s="4">
        <v>33</v>
      </c>
      <c r="S683" s="4">
        <v>36.851999999999997</v>
      </c>
      <c r="T683" s="4">
        <v>23.186</v>
      </c>
    </row>
    <row r="684" spans="1:20" ht="15" thickBot="1" x14ac:dyDescent="0.35">
      <c r="A684" s="2" t="s">
        <v>20</v>
      </c>
      <c r="B684" s="2" t="s">
        <v>68</v>
      </c>
      <c r="C684" s="2" t="s">
        <v>35</v>
      </c>
      <c r="D684" s="2" t="s">
        <v>137</v>
      </c>
      <c r="E684" s="2" t="s">
        <v>37</v>
      </c>
      <c r="F684" s="2" t="s">
        <v>138</v>
      </c>
      <c r="G684" s="2" t="s">
        <v>336</v>
      </c>
      <c r="H684" s="3">
        <v>44195</v>
      </c>
      <c r="I684" s="2" t="s">
        <v>100</v>
      </c>
      <c r="J684" s="2" t="s">
        <v>96</v>
      </c>
      <c r="K684" s="4">
        <v>2020</v>
      </c>
      <c r="L684" s="4">
        <v>1.302</v>
      </c>
      <c r="M684" s="4">
        <v>12</v>
      </c>
      <c r="N684" s="4">
        <v>188</v>
      </c>
      <c r="O684" s="4">
        <v>244.77600000000001</v>
      </c>
      <c r="P684" s="4">
        <v>36.716000000000001</v>
      </c>
      <c r="Q684" s="12">
        <v>208.06</v>
      </c>
      <c r="R684" s="4">
        <v>115</v>
      </c>
      <c r="S684" s="4">
        <v>15.624000000000001</v>
      </c>
      <c r="T684" s="4">
        <v>192.43600000000001</v>
      </c>
    </row>
    <row r="685" spans="1:20" ht="15" thickBot="1" x14ac:dyDescent="0.35">
      <c r="A685" s="2" t="s">
        <v>33</v>
      </c>
      <c r="B685" s="2" t="s">
        <v>64</v>
      </c>
      <c r="C685" s="2" t="s">
        <v>35</v>
      </c>
      <c r="D685" s="2" t="s">
        <v>187</v>
      </c>
      <c r="E685" s="2" t="s">
        <v>37</v>
      </c>
      <c r="F685" s="2" t="s">
        <v>188</v>
      </c>
      <c r="G685" s="2" t="s">
        <v>336</v>
      </c>
      <c r="H685" s="3">
        <v>44028</v>
      </c>
      <c r="I685" s="2" t="s">
        <v>62</v>
      </c>
      <c r="J685" s="2" t="s">
        <v>28</v>
      </c>
      <c r="K685" s="4">
        <v>2020</v>
      </c>
      <c r="L685" s="4">
        <v>1.41</v>
      </c>
      <c r="M685" s="4">
        <v>12</v>
      </c>
      <c r="N685" s="4">
        <v>23</v>
      </c>
      <c r="O685" s="4">
        <v>32.43</v>
      </c>
      <c r="P685" s="4">
        <v>4.8650000000000002</v>
      </c>
      <c r="Q685" s="12">
        <v>27.565999999999999</v>
      </c>
      <c r="R685" s="4">
        <v>15</v>
      </c>
      <c r="S685" s="4">
        <v>16.920000000000002</v>
      </c>
      <c r="T685" s="4">
        <v>10.646000000000001</v>
      </c>
    </row>
    <row r="686" spans="1:20" ht="29.4" thickBot="1" x14ac:dyDescent="0.35">
      <c r="A686" s="2" t="s">
        <v>58</v>
      </c>
      <c r="B686" s="2" t="s">
        <v>59</v>
      </c>
      <c r="C686" s="2" t="s">
        <v>35</v>
      </c>
      <c r="D686" s="2" t="s">
        <v>60</v>
      </c>
      <c r="E686" s="2" t="s">
        <v>37</v>
      </c>
      <c r="F686" s="2" t="s">
        <v>61</v>
      </c>
      <c r="G686" s="2" t="s">
        <v>336</v>
      </c>
      <c r="H686" s="3">
        <v>44151</v>
      </c>
      <c r="I686" s="2" t="s">
        <v>95</v>
      </c>
      <c r="J686" s="2" t="s">
        <v>96</v>
      </c>
      <c r="K686" s="4">
        <v>2020</v>
      </c>
      <c r="L686" s="4">
        <v>1.097</v>
      </c>
      <c r="M686" s="4">
        <v>12</v>
      </c>
      <c r="N686" s="4">
        <v>18</v>
      </c>
      <c r="O686" s="4">
        <v>19.745999999999999</v>
      </c>
      <c r="P686" s="4">
        <v>2.9620000000000002</v>
      </c>
      <c r="Q686" s="12">
        <v>16.783999999999999</v>
      </c>
      <c r="R686" s="4">
        <v>9</v>
      </c>
      <c r="S686" s="4">
        <v>13.164</v>
      </c>
      <c r="T686" s="4">
        <v>3.62</v>
      </c>
    </row>
    <row r="687" spans="1:20" ht="15" thickBot="1" x14ac:dyDescent="0.35">
      <c r="A687" s="2" t="s">
        <v>49</v>
      </c>
      <c r="B687" s="2" t="s">
        <v>50</v>
      </c>
      <c r="C687" s="2" t="s">
        <v>35</v>
      </c>
      <c r="D687" s="2" t="s">
        <v>233</v>
      </c>
      <c r="E687" s="2" t="s">
        <v>37</v>
      </c>
      <c r="F687" s="2" t="s">
        <v>234</v>
      </c>
      <c r="G687" s="2" t="s">
        <v>336</v>
      </c>
      <c r="H687" s="3">
        <v>44119</v>
      </c>
      <c r="I687" s="2" t="s">
        <v>115</v>
      </c>
      <c r="J687" s="2" t="s">
        <v>96</v>
      </c>
      <c r="K687" s="4">
        <v>2020</v>
      </c>
      <c r="L687" s="4">
        <v>352</v>
      </c>
      <c r="M687" s="4">
        <v>12</v>
      </c>
      <c r="N687" s="4">
        <v>30</v>
      </c>
      <c r="O687" s="4">
        <v>10.56</v>
      </c>
      <c r="P687" s="4">
        <v>1.5840000000000001</v>
      </c>
      <c r="Q687" s="12">
        <v>8.9760000000000009</v>
      </c>
      <c r="R687" s="4">
        <v>5</v>
      </c>
      <c r="S687" s="4">
        <v>4.2240000000000002</v>
      </c>
      <c r="T687" s="4">
        <v>4.7519999999999998</v>
      </c>
    </row>
    <row r="688" spans="1:20" ht="29.4" thickBot="1" x14ac:dyDescent="0.35">
      <c r="A688" s="2" t="s">
        <v>58</v>
      </c>
      <c r="B688" s="2" t="s">
        <v>50</v>
      </c>
      <c r="C688" s="2" t="s">
        <v>69</v>
      </c>
      <c r="D688" s="2" t="s">
        <v>533</v>
      </c>
      <c r="E688" s="2" t="s">
        <v>71</v>
      </c>
      <c r="F688" s="2" t="s">
        <v>313</v>
      </c>
      <c r="G688" s="2" t="s">
        <v>336</v>
      </c>
      <c r="H688" s="3">
        <v>44234</v>
      </c>
      <c r="I688" s="2" t="s">
        <v>79</v>
      </c>
      <c r="J688" s="2" t="s">
        <v>40</v>
      </c>
      <c r="K688" s="4">
        <v>2021</v>
      </c>
      <c r="L688" s="4">
        <v>600</v>
      </c>
      <c r="M688" s="4">
        <v>148</v>
      </c>
      <c r="N688" s="4">
        <v>18</v>
      </c>
      <c r="O688" s="4">
        <v>10.8</v>
      </c>
      <c r="P688" s="4">
        <v>1.62</v>
      </c>
      <c r="Q688" s="12">
        <v>9.18</v>
      </c>
      <c r="R688" s="4">
        <v>5</v>
      </c>
      <c r="S688" s="4">
        <v>88.8</v>
      </c>
      <c r="T688" s="4">
        <v>-79.62</v>
      </c>
    </row>
    <row r="689" spans="1:20" ht="15" thickBot="1" x14ac:dyDescent="0.35">
      <c r="A689" s="2" t="s">
        <v>33</v>
      </c>
      <c r="B689" s="2" t="s">
        <v>64</v>
      </c>
      <c r="C689" s="2" t="s">
        <v>69</v>
      </c>
      <c r="D689" s="2" t="s">
        <v>890</v>
      </c>
      <c r="E689" s="2" t="s">
        <v>71</v>
      </c>
      <c r="F689" s="2" t="s">
        <v>406</v>
      </c>
      <c r="G689" s="2" t="s">
        <v>336</v>
      </c>
      <c r="H689" s="3">
        <v>44513</v>
      </c>
      <c r="I689" s="2" t="s">
        <v>95</v>
      </c>
      <c r="J689" s="2" t="s">
        <v>96</v>
      </c>
      <c r="K689" s="4">
        <v>2021</v>
      </c>
      <c r="L689" s="4">
        <v>3.391</v>
      </c>
      <c r="M689" s="4">
        <v>148</v>
      </c>
      <c r="N689" s="4">
        <v>23</v>
      </c>
      <c r="O689" s="4">
        <v>77.992999999999995</v>
      </c>
      <c r="P689" s="4">
        <v>11.699</v>
      </c>
      <c r="Q689" s="12">
        <v>66.293999999999997</v>
      </c>
      <c r="R689" s="4">
        <v>36</v>
      </c>
      <c r="S689" s="4">
        <v>501.86799999999999</v>
      </c>
      <c r="T689" s="4">
        <v>-435.57400000000001</v>
      </c>
    </row>
    <row r="690" spans="1:20" ht="15" thickBot="1" x14ac:dyDescent="0.35">
      <c r="A690" s="2" t="s">
        <v>20</v>
      </c>
      <c r="B690" s="2" t="s">
        <v>59</v>
      </c>
      <c r="C690" s="2" t="s">
        <v>69</v>
      </c>
      <c r="D690" s="2" t="s">
        <v>237</v>
      </c>
      <c r="E690" s="2" t="s">
        <v>71</v>
      </c>
      <c r="F690" s="2" t="s">
        <v>238</v>
      </c>
      <c r="G690" s="2" t="s">
        <v>336</v>
      </c>
      <c r="H690" s="3">
        <v>43940</v>
      </c>
      <c r="I690" s="2" t="s">
        <v>91</v>
      </c>
      <c r="J690" s="2" t="s">
        <v>92</v>
      </c>
      <c r="K690" s="4">
        <v>2020</v>
      </c>
      <c r="L690" s="4">
        <v>796</v>
      </c>
      <c r="M690" s="4">
        <v>148</v>
      </c>
      <c r="N690" s="4">
        <v>188</v>
      </c>
      <c r="O690" s="4">
        <v>149.648</v>
      </c>
      <c r="P690" s="4">
        <v>22.446999999999999</v>
      </c>
      <c r="Q690" s="12">
        <v>127.20099999999999</v>
      </c>
      <c r="R690" s="4">
        <v>70</v>
      </c>
      <c r="S690" s="4">
        <v>117.80800000000001</v>
      </c>
      <c r="T690" s="4">
        <v>9.3930000000000007</v>
      </c>
    </row>
    <row r="691" spans="1:20" ht="29.4" thickBot="1" x14ac:dyDescent="0.35">
      <c r="A691" s="2" t="s">
        <v>58</v>
      </c>
      <c r="B691" s="2" t="s">
        <v>50</v>
      </c>
      <c r="C691" s="2" t="s">
        <v>69</v>
      </c>
      <c r="D691" s="2" t="s">
        <v>600</v>
      </c>
      <c r="E691" s="2" t="s">
        <v>71</v>
      </c>
      <c r="F691" s="2" t="s">
        <v>335</v>
      </c>
      <c r="G691" s="2" t="s">
        <v>336</v>
      </c>
      <c r="H691" s="3">
        <v>44328</v>
      </c>
      <c r="I691" s="2" t="s">
        <v>142</v>
      </c>
      <c r="J691" s="2" t="s">
        <v>92</v>
      </c>
      <c r="K691" s="4">
        <v>2021</v>
      </c>
      <c r="L691" s="4">
        <v>1.097</v>
      </c>
      <c r="M691" s="4">
        <v>148</v>
      </c>
      <c r="N691" s="4">
        <v>18</v>
      </c>
      <c r="O691" s="4">
        <v>19.745999999999999</v>
      </c>
      <c r="P691" s="4">
        <v>2.9620000000000002</v>
      </c>
      <c r="Q691" s="12">
        <v>16.783999999999999</v>
      </c>
      <c r="R691" s="4">
        <v>9</v>
      </c>
      <c r="S691" s="4">
        <v>162.35599999999999</v>
      </c>
      <c r="T691" s="4">
        <v>-145.572</v>
      </c>
    </row>
    <row r="692" spans="1:20" ht="15" thickBot="1" x14ac:dyDescent="0.35">
      <c r="A692" s="2" t="s">
        <v>49</v>
      </c>
      <c r="B692" s="2" t="s">
        <v>68</v>
      </c>
      <c r="C692" s="2" t="s">
        <v>75</v>
      </c>
      <c r="D692" s="2" t="s">
        <v>242</v>
      </c>
      <c r="E692" s="2" t="s">
        <v>77</v>
      </c>
      <c r="F692" s="2" t="s">
        <v>243</v>
      </c>
      <c r="G692" s="2" t="s">
        <v>336</v>
      </c>
      <c r="H692" s="3">
        <v>44371</v>
      </c>
      <c r="I692" s="2" t="s">
        <v>205</v>
      </c>
      <c r="J692" s="2" t="s">
        <v>92</v>
      </c>
      <c r="K692" s="4">
        <v>2021</v>
      </c>
      <c r="L692" s="4">
        <v>1.0389999999999999</v>
      </c>
      <c r="M692" s="4">
        <v>308</v>
      </c>
      <c r="N692" s="4">
        <v>30</v>
      </c>
      <c r="O692" s="4">
        <v>31.17</v>
      </c>
      <c r="P692" s="4">
        <v>4.6760000000000002</v>
      </c>
      <c r="Q692" s="12">
        <v>26.495000000000001</v>
      </c>
      <c r="R692" s="4">
        <v>15</v>
      </c>
      <c r="S692" s="4">
        <v>320.012</v>
      </c>
      <c r="T692" s="4">
        <v>-293.51799999999997</v>
      </c>
    </row>
    <row r="693" spans="1:20" ht="15" thickBot="1" x14ac:dyDescent="0.35">
      <c r="A693" s="2" t="s">
        <v>33</v>
      </c>
      <c r="B693" s="2" t="s">
        <v>68</v>
      </c>
      <c r="C693" s="2" t="s">
        <v>75</v>
      </c>
      <c r="D693" s="2" t="s">
        <v>189</v>
      </c>
      <c r="E693" s="2" t="s">
        <v>77</v>
      </c>
      <c r="F693" s="2" t="s">
        <v>190</v>
      </c>
      <c r="G693" s="2" t="s">
        <v>336</v>
      </c>
      <c r="H693" s="3">
        <v>44119</v>
      </c>
      <c r="I693" s="2" t="s">
        <v>115</v>
      </c>
      <c r="J693" s="2" t="s">
        <v>96</v>
      </c>
      <c r="K693" s="4">
        <v>2020</v>
      </c>
      <c r="L693" s="4">
        <v>590</v>
      </c>
      <c r="M693" s="4">
        <v>308</v>
      </c>
      <c r="N693" s="4">
        <v>23</v>
      </c>
      <c r="O693" s="4">
        <v>13.57</v>
      </c>
      <c r="P693" s="4">
        <v>2.036</v>
      </c>
      <c r="Q693" s="12">
        <v>11.535</v>
      </c>
      <c r="R693" s="4">
        <v>6</v>
      </c>
      <c r="S693" s="4">
        <v>181.72</v>
      </c>
      <c r="T693" s="4">
        <v>-170.18600000000001</v>
      </c>
    </row>
    <row r="694" spans="1:20" ht="15" thickBot="1" x14ac:dyDescent="0.35">
      <c r="A694" s="2" t="s">
        <v>33</v>
      </c>
      <c r="B694" s="2" t="s">
        <v>68</v>
      </c>
      <c r="C694" s="2" t="s">
        <v>75</v>
      </c>
      <c r="D694" s="2" t="s">
        <v>189</v>
      </c>
      <c r="E694" s="2" t="s">
        <v>77</v>
      </c>
      <c r="F694" s="2" t="s">
        <v>190</v>
      </c>
      <c r="G694" s="2" t="s">
        <v>336</v>
      </c>
      <c r="H694" s="3">
        <v>44295</v>
      </c>
      <c r="I694" s="2" t="s">
        <v>91</v>
      </c>
      <c r="J694" s="2" t="s">
        <v>92</v>
      </c>
      <c r="K694" s="4">
        <v>2021</v>
      </c>
      <c r="L694" s="4">
        <v>1.41</v>
      </c>
      <c r="M694" s="4">
        <v>308</v>
      </c>
      <c r="N694" s="4">
        <v>23</v>
      </c>
      <c r="O694" s="4">
        <v>32.43</v>
      </c>
      <c r="P694" s="4">
        <v>4.8650000000000002</v>
      </c>
      <c r="Q694" s="12">
        <v>27.565999999999999</v>
      </c>
      <c r="R694" s="4">
        <v>15</v>
      </c>
      <c r="S694" s="4">
        <v>434.28</v>
      </c>
      <c r="T694" s="4">
        <v>-406.71499999999997</v>
      </c>
    </row>
    <row r="695" spans="1:20" ht="15" thickBot="1" x14ac:dyDescent="0.35">
      <c r="A695" s="2" t="s">
        <v>20</v>
      </c>
      <c r="B695" s="2" t="s">
        <v>34</v>
      </c>
      <c r="C695" s="2" t="s">
        <v>75</v>
      </c>
      <c r="D695" s="2" t="s">
        <v>567</v>
      </c>
      <c r="E695" s="2" t="s">
        <v>77</v>
      </c>
      <c r="F695" s="2" t="s">
        <v>251</v>
      </c>
      <c r="G695" s="2" t="s">
        <v>336</v>
      </c>
      <c r="H695" s="3">
        <v>44557</v>
      </c>
      <c r="I695" s="2" t="s">
        <v>100</v>
      </c>
      <c r="J695" s="2" t="s">
        <v>96</v>
      </c>
      <c r="K695" s="4">
        <v>2021</v>
      </c>
      <c r="L695" s="4">
        <v>662</v>
      </c>
      <c r="M695" s="4">
        <v>308</v>
      </c>
      <c r="N695" s="4">
        <v>188</v>
      </c>
      <c r="O695" s="4">
        <v>124.456</v>
      </c>
      <c r="P695" s="4">
        <v>18.667999999999999</v>
      </c>
      <c r="Q695" s="12">
        <v>105.788</v>
      </c>
      <c r="R695" s="4">
        <v>59</v>
      </c>
      <c r="S695" s="4">
        <v>203.89599999999999</v>
      </c>
      <c r="T695" s="4">
        <v>-98.108000000000004</v>
      </c>
    </row>
    <row r="696" spans="1:20" ht="15" thickBot="1" x14ac:dyDescent="0.35">
      <c r="A696" s="2" t="s">
        <v>49</v>
      </c>
      <c r="B696" s="2" t="s">
        <v>74</v>
      </c>
      <c r="C696" s="2" t="s">
        <v>75</v>
      </c>
      <c r="D696" s="2" t="s">
        <v>76</v>
      </c>
      <c r="E696" s="2" t="s">
        <v>77</v>
      </c>
      <c r="F696" s="2" t="s">
        <v>78</v>
      </c>
      <c r="G696" s="2" t="s">
        <v>336</v>
      </c>
      <c r="H696" s="3">
        <v>44175</v>
      </c>
      <c r="I696" s="2" t="s">
        <v>100</v>
      </c>
      <c r="J696" s="2" t="s">
        <v>96</v>
      </c>
      <c r="K696" s="4">
        <v>2020</v>
      </c>
      <c r="L696" s="4">
        <v>352</v>
      </c>
      <c r="M696" s="4">
        <v>308</v>
      </c>
      <c r="N696" s="4">
        <v>30</v>
      </c>
      <c r="O696" s="4">
        <v>10.56</v>
      </c>
      <c r="P696" s="4">
        <v>1.5840000000000001</v>
      </c>
      <c r="Q696" s="12">
        <v>8.9760000000000009</v>
      </c>
      <c r="R696" s="4">
        <v>5</v>
      </c>
      <c r="S696" s="4">
        <v>108.416</v>
      </c>
      <c r="T696" s="4">
        <v>-99.44</v>
      </c>
    </row>
    <row r="697" spans="1:20" ht="29.4" thickBot="1" x14ac:dyDescent="0.35">
      <c r="A697" s="2" t="s">
        <v>43</v>
      </c>
      <c r="B697" s="2" t="s">
        <v>59</v>
      </c>
      <c r="C697" s="2" t="s">
        <v>120</v>
      </c>
      <c r="D697" s="2" t="s">
        <v>807</v>
      </c>
      <c r="E697" s="2" t="s">
        <v>122</v>
      </c>
      <c r="F697" s="2" t="s">
        <v>238</v>
      </c>
      <c r="G697" s="2" t="s">
        <v>336</v>
      </c>
      <c r="H697" s="3">
        <v>43918</v>
      </c>
      <c r="I697" s="2" t="s">
        <v>112</v>
      </c>
      <c r="J697" s="2" t="s">
        <v>40</v>
      </c>
      <c r="K697" s="4">
        <v>2020</v>
      </c>
      <c r="L697" s="4">
        <v>2.97</v>
      </c>
      <c r="M697" s="4">
        <v>320</v>
      </c>
      <c r="N697" s="4">
        <v>450</v>
      </c>
      <c r="O697" s="4" t="s">
        <v>923</v>
      </c>
      <c r="P697" s="4">
        <v>200.47499999999999</v>
      </c>
      <c r="Q697" s="12" t="s">
        <v>924</v>
      </c>
      <c r="R697" s="4">
        <v>631</v>
      </c>
      <c r="S697" s="4">
        <v>950.4</v>
      </c>
      <c r="T697" s="4">
        <v>185.625</v>
      </c>
    </row>
    <row r="698" spans="1:20" ht="29.4" thickBot="1" x14ac:dyDescent="0.35">
      <c r="A698" s="2" t="s">
        <v>43</v>
      </c>
      <c r="B698" s="2" t="s">
        <v>68</v>
      </c>
      <c r="C698" s="2" t="s">
        <v>120</v>
      </c>
      <c r="D698" s="2" t="s">
        <v>539</v>
      </c>
      <c r="E698" s="2" t="s">
        <v>122</v>
      </c>
      <c r="F698" s="2" t="s">
        <v>412</v>
      </c>
      <c r="G698" s="2" t="s">
        <v>336</v>
      </c>
      <c r="H698" s="3">
        <v>44181</v>
      </c>
      <c r="I698" s="2" t="s">
        <v>100</v>
      </c>
      <c r="J698" s="2" t="s">
        <v>96</v>
      </c>
      <c r="K698" s="4">
        <v>2020</v>
      </c>
      <c r="L698" s="4">
        <v>655</v>
      </c>
      <c r="M698" s="4">
        <v>320</v>
      </c>
      <c r="N698" s="4">
        <v>450</v>
      </c>
      <c r="O698" s="4">
        <v>294.75</v>
      </c>
      <c r="P698" s="4">
        <v>44.213000000000001</v>
      </c>
      <c r="Q698" s="12">
        <v>250.53800000000001</v>
      </c>
      <c r="R698" s="4">
        <v>139</v>
      </c>
      <c r="S698" s="4">
        <v>209.6</v>
      </c>
      <c r="T698" s="4">
        <v>40.938000000000002</v>
      </c>
    </row>
    <row r="699" spans="1:20" ht="15" thickBot="1" x14ac:dyDescent="0.35">
      <c r="A699" s="2" t="s">
        <v>49</v>
      </c>
      <c r="B699" s="2" t="s">
        <v>21</v>
      </c>
      <c r="C699" s="2" t="s">
        <v>22</v>
      </c>
      <c r="D699" s="2" t="s">
        <v>221</v>
      </c>
      <c r="E699" s="2" t="s">
        <v>24</v>
      </c>
      <c r="F699" s="2" t="s">
        <v>222</v>
      </c>
      <c r="G699" s="2" t="s">
        <v>336</v>
      </c>
      <c r="H699" s="3">
        <v>44308</v>
      </c>
      <c r="I699" s="2" t="s">
        <v>91</v>
      </c>
      <c r="J699" s="2" t="s">
        <v>92</v>
      </c>
      <c r="K699" s="4">
        <v>2021</v>
      </c>
      <c r="L699" s="4">
        <v>1.6419999999999999</v>
      </c>
      <c r="M699" s="4">
        <v>6</v>
      </c>
      <c r="N699" s="4">
        <v>11</v>
      </c>
      <c r="O699" s="4">
        <v>18.062000000000001</v>
      </c>
      <c r="P699" s="4">
        <v>2.7090000000000001</v>
      </c>
      <c r="Q699" s="12">
        <v>15.353</v>
      </c>
      <c r="R699" s="4">
        <v>8</v>
      </c>
      <c r="S699" s="4">
        <v>9.8520000000000003</v>
      </c>
      <c r="T699" s="4">
        <v>5.5010000000000003</v>
      </c>
    </row>
    <row r="700" spans="1:20" ht="15" thickBot="1" x14ac:dyDescent="0.35">
      <c r="A700" s="2" t="s">
        <v>49</v>
      </c>
      <c r="B700" s="2" t="s">
        <v>50</v>
      </c>
      <c r="C700" s="2" t="s">
        <v>35</v>
      </c>
      <c r="D700" s="2" t="s">
        <v>51</v>
      </c>
      <c r="E700" s="2" t="s">
        <v>37</v>
      </c>
      <c r="F700" s="2" t="s">
        <v>52</v>
      </c>
      <c r="G700" s="2" t="s">
        <v>336</v>
      </c>
      <c r="H700" s="3">
        <v>44224</v>
      </c>
      <c r="I700" s="2" t="s">
        <v>39</v>
      </c>
      <c r="J700" s="2" t="s">
        <v>40</v>
      </c>
      <c r="K700" s="4">
        <v>2021</v>
      </c>
      <c r="L700" s="4">
        <v>868</v>
      </c>
      <c r="M700" s="4">
        <v>12</v>
      </c>
      <c r="N700" s="4">
        <v>11</v>
      </c>
      <c r="O700" s="4">
        <v>9.548</v>
      </c>
      <c r="P700" s="4">
        <v>1.4319999999999999</v>
      </c>
      <c r="Q700" s="12">
        <v>8.1159999999999997</v>
      </c>
      <c r="R700" s="4">
        <v>4</v>
      </c>
      <c r="S700" s="4">
        <v>10.416</v>
      </c>
      <c r="T700" s="4">
        <v>-2.2999999999999998</v>
      </c>
    </row>
    <row r="701" spans="1:20" ht="29.4" thickBot="1" x14ac:dyDescent="0.35">
      <c r="A701" s="2" t="s">
        <v>58</v>
      </c>
      <c r="B701" s="2" t="s">
        <v>44</v>
      </c>
      <c r="C701" s="2" t="s">
        <v>75</v>
      </c>
      <c r="D701" s="2" t="s">
        <v>754</v>
      </c>
      <c r="E701" s="2" t="s">
        <v>77</v>
      </c>
      <c r="F701" s="2" t="s">
        <v>310</v>
      </c>
      <c r="G701" s="2" t="s">
        <v>336</v>
      </c>
      <c r="H701" s="3">
        <v>43909</v>
      </c>
      <c r="I701" s="2" t="s">
        <v>112</v>
      </c>
      <c r="J701" s="2" t="s">
        <v>40</v>
      </c>
      <c r="K701" s="4">
        <v>2020</v>
      </c>
      <c r="L701" s="4">
        <v>2.1669999999999998</v>
      </c>
      <c r="M701" s="4">
        <v>308</v>
      </c>
      <c r="N701" s="4">
        <v>18</v>
      </c>
      <c r="O701" s="4">
        <v>39.006</v>
      </c>
      <c r="P701" s="4">
        <v>5.851</v>
      </c>
      <c r="Q701" s="12">
        <v>33.155000000000001</v>
      </c>
      <c r="R701" s="4">
        <v>18</v>
      </c>
      <c r="S701" s="4">
        <v>667.43600000000004</v>
      </c>
      <c r="T701" s="4">
        <v>-634.28099999999995</v>
      </c>
    </row>
  </sheetData>
  <pageMargins left="0.7" right="0.7" top="0.75" bottom="0.75" header="0.3" footer="0.3"/>
  <pageSetup paperSize="9"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04701-1218-4A0E-AB79-403CE151CDBD}">
  <dimension ref="A2:W98"/>
  <sheetViews>
    <sheetView topLeftCell="A19" zoomScale="70" zoomScaleNormal="70" workbookViewId="0">
      <selection activeCell="H39" sqref="H39"/>
    </sheetView>
  </sheetViews>
  <sheetFormatPr defaultRowHeight="14.4" x14ac:dyDescent="0.3"/>
  <cols>
    <col min="1" max="2" width="16.33203125" bestFit="1" customWidth="1"/>
    <col min="3" max="3" width="15.5546875" bestFit="1" customWidth="1"/>
    <col min="4" max="4" width="13.88671875" bestFit="1" customWidth="1"/>
    <col min="5" max="5" width="12.44140625" bestFit="1" customWidth="1"/>
    <col min="6" max="6" width="15.21875" bestFit="1" customWidth="1"/>
    <col min="7" max="7" width="15.5546875" bestFit="1" customWidth="1"/>
    <col min="8" max="8" width="16.109375" bestFit="1" customWidth="1"/>
    <col min="9" max="10" width="13.88671875" bestFit="1" customWidth="1"/>
    <col min="11" max="11" width="15.77734375" bestFit="1" customWidth="1"/>
    <col min="12" max="12" width="16.109375" customWidth="1"/>
    <col min="13" max="13" width="14.21875" customWidth="1"/>
    <col min="14" max="17" width="16.109375" customWidth="1"/>
    <col min="18" max="18" width="12.5546875" bestFit="1" customWidth="1"/>
    <col min="19" max="19" width="13.88671875" bestFit="1" customWidth="1"/>
    <col min="20" max="20" width="15.77734375" bestFit="1" customWidth="1"/>
    <col min="22" max="22" width="18" bestFit="1" customWidth="1"/>
    <col min="23" max="23" width="15.77734375" bestFit="1" customWidth="1"/>
    <col min="25" max="25" width="17.33203125" bestFit="1" customWidth="1"/>
    <col min="26" max="26" width="16.109375" bestFit="1" customWidth="1"/>
  </cols>
  <sheetData>
    <row r="2" spans="1:23" x14ac:dyDescent="0.3">
      <c r="A2" s="20" t="s">
        <v>0</v>
      </c>
      <c r="B2" s="20"/>
      <c r="E2" s="21"/>
      <c r="F2" s="21"/>
    </row>
    <row r="3" spans="1:23" x14ac:dyDescent="0.3">
      <c r="A3" s="9" t="s">
        <v>947</v>
      </c>
      <c r="B3" t="s">
        <v>949</v>
      </c>
      <c r="D3" s="9" t="s">
        <v>947</v>
      </c>
      <c r="E3" t="s">
        <v>949</v>
      </c>
      <c r="G3" s="21" t="s">
        <v>950</v>
      </c>
      <c r="H3" s="21"/>
      <c r="J3" s="21" t="s">
        <v>8</v>
      </c>
      <c r="K3" s="21"/>
      <c r="V3" s="9" t="s">
        <v>947</v>
      </c>
      <c r="W3" t="s">
        <v>949</v>
      </c>
    </row>
    <row r="4" spans="1:23" x14ac:dyDescent="0.3">
      <c r="A4" s="10" t="s">
        <v>58</v>
      </c>
      <c r="B4" s="14">
        <v>3241.0539999999996</v>
      </c>
      <c r="D4" s="10" t="s">
        <v>34</v>
      </c>
      <c r="E4" s="14">
        <v>13485.656999999997</v>
      </c>
      <c r="J4" s="9" t="s">
        <v>947</v>
      </c>
      <c r="K4" t="s">
        <v>949</v>
      </c>
      <c r="L4" s="24" t="s">
        <v>8</v>
      </c>
      <c r="M4" s="24" t="s">
        <v>955</v>
      </c>
      <c r="N4" s="25" t="s">
        <v>925</v>
      </c>
      <c r="O4" s="24" t="s">
        <v>955</v>
      </c>
      <c r="P4" s="25" t="s">
        <v>925</v>
      </c>
      <c r="Q4" s="13"/>
      <c r="S4" s="9" t="s">
        <v>947</v>
      </c>
      <c r="T4" t="s">
        <v>949</v>
      </c>
      <c r="V4" s="10" t="s">
        <v>329</v>
      </c>
      <c r="W4" s="14">
        <v>42.411999999999999</v>
      </c>
    </row>
    <row r="5" spans="1:23" x14ac:dyDescent="0.3">
      <c r="A5" s="10" t="s">
        <v>20</v>
      </c>
      <c r="B5" s="14">
        <v>35394.759999999987</v>
      </c>
      <c r="D5" s="10" t="s">
        <v>44</v>
      </c>
      <c r="E5" s="14">
        <v>14649.515000000003</v>
      </c>
      <c r="J5" s="10" t="s">
        <v>39</v>
      </c>
      <c r="K5" s="14">
        <v>12734.705000000002</v>
      </c>
      <c r="L5" s="18" t="str">
        <f>J5</f>
        <v>Jan</v>
      </c>
      <c r="M5" s="23">
        <f>GETPIVOTDATA("Net Sales",$K$5,"Month",L5)</f>
        <v>12734.705000000002</v>
      </c>
      <c r="N5" s="23" t="str">
        <f>Sheet4!A2</f>
        <v>£18,300,908</v>
      </c>
      <c r="O5" s="23"/>
      <c r="P5" s="23"/>
      <c r="Q5" s="13"/>
      <c r="S5" s="10">
        <v>2020</v>
      </c>
      <c r="T5" s="14">
        <v>59230.128000000012</v>
      </c>
      <c r="V5" s="10" t="s">
        <v>288</v>
      </c>
      <c r="W5" s="14">
        <v>3173.5680000000002</v>
      </c>
    </row>
    <row r="6" spans="1:23" x14ac:dyDescent="0.3">
      <c r="A6" s="10" t="s">
        <v>49</v>
      </c>
      <c r="B6" s="14">
        <v>42685.77000000004</v>
      </c>
      <c r="D6" s="10" t="s">
        <v>50</v>
      </c>
      <c r="E6" s="14">
        <v>10781.288000000002</v>
      </c>
      <c r="J6" s="10" t="s">
        <v>79</v>
      </c>
      <c r="K6" s="14">
        <v>11408.101999999999</v>
      </c>
      <c r="L6" s="18" t="str">
        <f t="shared" ref="L6:L16" si="0">J6</f>
        <v>Feb</v>
      </c>
      <c r="M6" s="23">
        <f t="shared" ref="M6:M16" si="1">GETPIVOTDATA("Net Sales",$K$5,"Month",L6)</f>
        <v>11408.101999999999</v>
      </c>
      <c r="N6" s="23" t="str">
        <f>Sheet4!A3</f>
        <v>£23,544,303</v>
      </c>
      <c r="O6" s="23"/>
      <c r="P6" s="23"/>
      <c r="Q6" s="13"/>
      <c r="S6" s="10">
        <v>2021</v>
      </c>
      <c r="T6" s="14">
        <v>58713.748000000029</v>
      </c>
      <c r="V6" s="10" t="s">
        <v>192</v>
      </c>
      <c r="W6" s="14">
        <v>2362.9660000000008</v>
      </c>
    </row>
    <row r="7" spans="1:23" x14ac:dyDescent="0.3">
      <c r="A7" s="10" t="s">
        <v>33</v>
      </c>
      <c r="B7" s="14">
        <v>4382.6089999999995</v>
      </c>
      <c r="D7" s="10" t="s">
        <v>59</v>
      </c>
      <c r="E7" s="14">
        <v>18164.175999999999</v>
      </c>
      <c r="J7" s="10" t="s">
        <v>112</v>
      </c>
      <c r="K7" s="14">
        <v>5961.393</v>
      </c>
      <c r="L7" s="18" t="str">
        <f t="shared" si="0"/>
        <v>Mar</v>
      </c>
      <c r="M7" s="23">
        <f t="shared" si="1"/>
        <v>5961.393</v>
      </c>
      <c r="N7" s="23" t="str">
        <f>Sheet4!A4</f>
        <v>£21,303,974</v>
      </c>
      <c r="O7" s="23"/>
      <c r="P7" s="23"/>
      <c r="Q7" s="13"/>
      <c r="S7" s="10" t="s">
        <v>948</v>
      </c>
      <c r="T7" s="14">
        <v>117943.87600000005</v>
      </c>
      <c r="V7" s="10" t="s">
        <v>371</v>
      </c>
      <c r="W7" s="14">
        <v>1314.2749999999999</v>
      </c>
    </row>
    <row r="8" spans="1:23" x14ac:dyDescent="0.3">
      <c r="A8" s="10" t="s">
        <v>43</v>
      </c>
      <c r="B8" s="14">
        <v>32239.683000000005</v>
      </c>
      <c r="D8" s="10" t="s">
        <v>68</v>
      </c>
      <c r="E8" s="14">
        <v>15520.059000000003</v>
      </c>
      <c r="J8" s="10" t="s">
        <v>91</v>
      </c>
      <c r="K8" s="14">
        <v>10336.968000000001</v>
      </c>
      <c r="L8" s="18" t="str">
        <f t="shared" si="0"/>
        <v>Apr</v>
      </c>
      <c r="M8" s="23">
        <f t="shared" si="1"/>
        <v>10336.968000000001</v>
      </c>
      <c r="N8" s="23" t="str">
        <f>Sheet4!A5</f>
        <v>£10,611,142</v>
      </c>
      <c r="O8" s="23"/>
      <c r="P8" s="23"/>
      <c r="Q8" s="13"/>
      <c r="V8" s="10" t="s">
        <v>251</v>
      </c>
      <c r="W8" s="14">
        <v>1448.5439999999999</v>
      </c>
    </row>
    <row r="9" spans="1:23" x14ac:dyDescent="0.3">
      <c r="A9" s="10" t="s">
        <v>948</v>
      </c>
      <c r="B9" s="14">
        <v>117943.87600000003</v>
      </c>
      <c r="D9" s="10" t="s">
        <v>64</v>
      </c>
      <c r="E9" s="14">
        <v>15582.741999999998</v>
      </c>
      <c r="J9" s="10" t="s">
        <v>142</v>
      </c>
      <c r="K9" s="14">
        <v>10306.450999999995</v>
      </c>
      <c r="L9" s="18" t="str">
        <f t="shared" si="0"/>
        <v>May</v>
      </c>
      <c r="M9" s="23">
        <f t="shared" si="1"/>
        <v>10306.450999999995</v>
      </c>
      <c r="N9" s="23" t="str">
        <f>Sheet4!A6</f>
        <v>£14,661,451</v>
      </c>
      <c r="O9" s="23"/>
      <c r="P9" s="23"/>
      <c r="Q9" s="13"/>
      <c r="V9" s="10" t="s">
        <v>129</v>
      </c>
      <c r="W9" s="14">
        <v>474.32299999999998</v>
      </c>
    </row>
    <row r="10" spans="1:23" x14ac:dyDescent="0.3">
      <c r="B10">
        <f>GETPIVOTDATA("Net Sales",$A$3)</f>
        <v>117943.87600000003</v>
      </c>
      <c r="D10" s="10" t="s">
        <v>74</v>
      </c>
      <c r="E10" s="14">
        <v>16333.315999999999</v>
      </c>
      <c r="J10" s="10" t="s">
        <v>205</v>
      </c>
      <c r="K10" s="14">
        <v>10935.367999999999</v>
      </c>
      <c r="L10" s="18" t="str">
        <f t="shared" si="0"/>
        <v>Jun</v>
      </c>
      <c r="M10" s="23">
        <f t="shared" si="1"/>
        <v>10935.367999999999</v>
      </c>
      <c r="N10" s="23" t="str">
        <f>Sheet4!A7</f>
        <v>£22,614,104</v>
      </c>
      <c r="O10" s="23"/>
      <c r="P10" s="23"/>
      <c r="Q10" s="13"/>
      <c r="V10" s="10" t="s">
        <v>333</v>
      </c>
      <c r="W10" s="14">
        <v>77.87</v>
      </c>
    </row>
    <row r="11" spans="1:23" x14ac:dyDescent="0.3">
      <c r="D11" s="10" t="s">
        <v>21</v>
      </c>
      <c r="E11" s="14">
        <v>13427.122999999998</v>
      </c>
      <c r="J11" s="10" t="s">
        <v>62</v>
      </c>
      <c r="K11" s="14">
        <v>11102.754000000001</v>
      </c>
      <c r="L11" s="18" t="str">
        <f t="shared" si="0"/>
        <v>Jul</v>
      </c>
      <c r="M11" s="23">
        <f t="shared" si="1"/>
        <v>11102.754000000001</v>
      </c>
      <c r="N11" s="23" t="str">
        <f>Sheet4!A8</f>
        <v>£18,334,867</v>
      </c>
      <c r="O11" s="23"/>
      <c r="P11" s="23"/>
      <c r="Q11" s="13"/>
      <c r="V11" s="10" t="s">
        <v>195</v>
      </c>
      <c r="W11" s="14">
        <v>1192.4970000000001</v>
      </c>
    </row>
    <row r="12" spans="1:23" x14ac:dyDescent="0.3">
      <c r="D12" s="10" t="s">
        <v>948</v>
      </c>
      <c r="E12" s="14">
        <v>117943.87599999999</v>
      </c>
      <c r="J12" s="10" t="s">
        <v>53</v>
      </c>
      <c r="K12" s="14">
        <v>8161.5519999999988</v>
      </c>
      <c r="L12" s="18" t="str">
        <f t="shared" si="0"/>
        <v>Aug</v>
      </c>
      <c r="M12" s="23">
        <f t="shared" si="1"/>
        <v>8161.5519999999988</v>
      </c>
      <c r="N12" s="23" t="str">
        <f>Sheet4!A9</f>
        <v>£20,514,113</v>
      </c>
      <c r="O12" s="23"/>
      <c r="P12" s="23"/>
      <c r="Q12" s="13"/>
      <c r="V12" s="10" t="s">
        <v>378</v>
      </c>
      <c r="W12" s="14">
        <v>871.16700000000003</v>
      </c>
    </row>
    <row r="13" spans="1:23" x14ac:dyDescent="0.3">
      <c r="J13" s="10" t="s">
        <v>27</v>
      </c>
      <c r="K13" s="14">
        <v>6882.8570000000009</v>
      </c>
      <c r="L13" s="18" t="str">
        <f t="shared" si="0"/>
        <v>Sep</v>
      </c>
      <c r="M13" s="23">
        <f t="shared" si="1"/>
        <v>6882.8570000000009</v>
      </c>
      <c r="N13" s="23" t="str">
        <f>Sheet4!A10</f>
        <v>£20,199,830</v>
      </c>
      <c r="O13" s="23"/>
      <c r="P13" s="23"/>
      <c r="Q13" s="13"/>
      <c r="V13" s="10" t="s">
        <v>435</v>
      </c>
      <c r="W13" s="14">
        <v>167.14000000000001</v>
      </c>
    </row>
    <row r="14" spans="1:23" x14ac:dyDescent="0.3">
      <c r="J14" s="10" t="s">
        <v>115</v>
      </c>
      <c r="K14" s="14">
        <v>10989.934000000001</v>
      </c>
      <c r="L14" s="18" t="str">
        <f t="shared" si="0"/>
        <v>Oct</v>
      </c>
      <c r="M14" s="23">
        <f t="shared" si="1"/>
        <v>10989.934000000001</v>
      </c>
      <c r="N14" s="23" t="str">
        <f>Sheet4!A11</f>
        <v>£12,194,030</v>
      </c>
      <c r="O14" s="23"/>
      <c r="P14" s="23"/>
      <c r="Q14" s="13"/>
      <c r="V14" s="10" t="s">
        <v>132</v>
      </c>
      <c r="W14" s="14">
        <v>1173.3820000000001</v>
      </c>
    </row>
    <row r="15" spans="1:23" x14ac:dyDescent="0.3">
      <c r="J15" s="10" t="s">
        <v>95</v>
      </c>
      <c r="K15" s="14">
        <v>8667.3659999999963</v>
      </c>
      <c r="L15" s="18" t="str">
        <f t="shared" si="0"/>
        <v>Nov</v>
      </c>
      <c r="M15" s="23">
        <f t="shared" si="1"/>
        <v>8667.3659999999963</v>
      </c>
      <c r="N15" s="23" t="str">
        <f>Sheet4!A12</f>
        <v>£12,337,191</v>
      </c>
      <c r="O15" s="23"/>
      <c r="P15" s="23"/>
      <c r="Q15" s="13"/>
      <c r="V15" s="10" t="s">
        <v>254</v>
      </c>
      <c r="W15" s="14">
        <v>2054.1590000000001</v>
      </c>
    </row>
    <row r="16" spans="1:23" x14ac:dyDescent="0.3">
      <c r="J16" s="10" t="s">
        <v>100</v>
      </c>
      <c r="K16" s="14">
        <v>10456.425999999999</v>
      </c>
      <c r="L16" s="18" t="str">
        <f t="shared" si="0"/>
        <v>Dec</v>
      </c>
      <c r="M16" s="23">
        <f t="shared" si="1"/>
        <v>10456.425999999999</v>
      </c>
      <c r="N16" s="23" t="str">
        <f>Sheet4!A13</f>
        <v>£15,522,499</v>
      </c>
      <c r="O16" s="23">
        <f>M16</f>
        <v>10456.425999999999</v>
      </c>
      <c r="P16" s="23" t="str">
        <f>N16</f>
        <v>£15,522,499</v>
      </c>
      <c r="Q16" s="13"/>
      <c r="V16" s="10" t="s">
        <v>291</v>
      </c>
      <c r="W16" s="14">
        <v>96.394000000000005</v>
      </c>
    </row>
    <row r="17" spans="1:23" x14ac:dyDescent="0.3">
      <c r="J17" s="10" t="s">
        <v>948</v>
      </c>
      <c r="K17" s="14">
        <v>117943.87599999999</v>
      </c>
      <c r="N17" s="22" t="str">
        <f>Sheet4!A14</f>
        <v>£210,138,410</v>
      </c>
      <c r="V17" s="10" t="s">
        <v>209</v>
      </c>
      <c r="W17" s="14">
        <v>56.036999999999999</v>
      </c>
    </row>
    <row r="18" spans="1:23" x14ac:dyDescent="0.3">
      <c r="V18" s="10" t="s">
        <v>145</v>
      </c>
      <c r="W18" s="14">
        <v>195.49699999999999</v>
      </c>
    </row>
    <row r="19" spans="1:23" x14ac:dyDescent="0.3">
      <c r="N19" s="22"/>
      <c r="V19" s="10" t="s">
        <v>123</v>
      </c>
      <c r="W19" s="14">
        <v>222.53499999999997</v>
      </c>
    </row>
    <row r="20" spans="1:23" x14ac:dyDescent="0.3">
      <c r="V20" s="10" t="s">
        <v>414</v>
      </c>
      <c r="W20" s="14">
        <v>509.904</v>
      </c>
    </row>
    <row r="21" spans="1:23" x14ac:dyDescent="0.3">
      <c r="A21" s="20" t="s">
        <v>952</v>
      </c>
      <c r="B21" s="20"/>
      <c r="V21" s="10" t="s">
        <v>282</v>
      </c>
      <c r="W21" s="14">
        <v>2025.8130000000001</v>
      </c>
    </row>
    <row r="22" spans="1:23" x14ac:dyDescent="0.3">
      <c r="V22" s="10" t="s">
        <v>245</v>
      </c>
      <c r="W22" s="14">
        <v>410.78200000000004</v>
      </c>
    </row>
    <row r="23" spans="1:23" x14ac:dyDescent="0.3">
      <c r="A23" s="9" t="s">
        <v>947</v>
      </c>
      <c r="B23" t="s">
        <v>951</v>
      </c>
      <c r="D23" s="9" t="s">
        <v>947</v>
      </c>
      <c r="E23" t="s">
        <v>951</v>
      </c>
      <c r="I23" s="9" t="s">
        <v>947</v>
      </c>
      <c r="J23" t="s">
        <v>949</v>
      </c>
      <c r="V23" s="10" t="s">
        <v>367</v>
      </c>
      <c r="W23" s="14">
        <v>972.83400000000006</v>
      </c>
    </row>
    <row r="24" spans="1:23" x14ac:dyDescent="0.3">
      <c r="A24" s="10" t="s">
        <v>58</v>
      </c>
      <c r="B24" s="14">
        <v>-17220.726000000002</v>
      </c>
      <c r="D24" s="10" t="s">
        <v>34</v>
      </c>
      <c r="E24" s="14">
        <v>1703.0410000000004</v>
      </c>
      <c r="F24">
        <f>GETPIVOTDATA("Profit",$D$23,"Country",D24)</f>
        <v>1703.0410000000004</v>
      </c>
      <c r="G24" s="26">
        <f t="shared" ref="G24:G31" si="2">SUM(F24)/SUM($F$24:$F$31)</f>
        <v>8.1695469742678925E-2</v>
      </c>
      <c r="I24" s="10" t="s">
        <v>35</v>
      </c>
      <c r="J24" s="14">
        <v>32667.543999999983</v>
      </c>
      <c r="K24" s="29">
        <f>GETPIVOTDATA("Net Sales",$I$23,"Product_Name",I24)</f>
        <v>32667.543999999983</v>
      </c>
      <c r="L24" s="26">
        <f t="shared" ref="L24:L29" si="3">SUM(K24)/SUM($K$24:$K$29)</f>
        <v>0.27697533019857673</v>
      </c>
      <c r="V24" s="10" t="s">
        <v>188</v>
      </c>
      <c r="W24" s="14">
        <v>207.35300000000001</v>
      </c>
    </row>
    <row r="25" spans="1:23" x14ac:dyDescent="0.3">
      <c r="A25" s="10" t="s">
        <v>20</v>
      </c>
      <c r="B25" s="14">
        <v>12877.009999999997</v>
      </c>
      <c r="D25" s="10" t="s">
        <v>44</v>
      </c>
      <c r="E25" s="14">
        <v>2621.5770000000011</v>
      </c>
      <c r="F25">
        <f t="shared" ref="F25:F32" si="4">GETPIVOTDATA("Profit",$D$23,"Country",D25)</f>
        <v>2621.5770000000011</v>
      </c>
      <c r="G25" s="26">
        <f t="shared" si="2"/>
        <v>0.12575796148278462</v>
      </c>
      <c r="I25" s="10" t="s">
        <v>22</v>
      </c>
      <c r="J25" s="14">
        <v>17550.050999999999</v>
      </c>
      <c r="K25" s="29">
        <f t="shared" ref="K25:K30" si="5">GETPIVOTDATA("Net Sales",$I$23,"Product_Name",I25)</f>
        <v>17550.050999999999</v>
      </c>
      <c r="L25" s="26">
        <f t="shared" si="3"/>
        <v>0.14880001908704443</v>
      </c>
      <c r="V25" s="10" t="s">
        <v>66</v>
      </c>
      <c r="W25" s="14">
        <v>364.58699999999999</v>
      </c>
    </row>
    <row r="26" spans="1:23" x14ac:dyDescent="0.3">
      <c r="A26" s="10" t="s">
        <v>49</v>
      </c>
      <c r="B26" s="14">
        <v>5933.1849999999995</v>
      </c>
      <c r="D26" s="10" t="s">
        <v>50</v>
      </c>
      <c r="E26" s="14">
        <v>2983.7840000000001</v>
      </c>
      <c r="F26">
        <f t="shared" si="4"/>
        <v>2983.7840000000001</v>
      </c>
      <c r="G26" s="26">
        <f t="shared" si="2"/>
        <v>0.14313315738769028</v>
      </c>
      <c r="I26" s="10" t="s">
        <v>82</v>
      </c>
      <c r="J26" s="14">
        <v>17276.45</v>
      </c>
      <c r="K26" s="29">
        <f t="shared" si="5"/>
        <v>17276.45</v>
      </c>
      <c r="L26" s="26">
        <f t="shared" si="3"/>
        <v>0.14648026320586585</v>
      </c>
      <c r="V26" s="10" t="s">
        <v>211</v>
      </c>
      <c r="W26" s="14">
        <v>175.226</v>
      </c>
    </row>
    <row r="27" spans="1:23" x14ac:dyDescent="0.3">
      <c r="A27" s="10" t="s">
        <v>33</v>
      </c>
      <c r="B27" s="14">
        <v>-13869.991</v>
      </c>
      <c r="D27" s="10" t="s">
        <v>59</v>
      </c>
      <c r="E27" s="14">
        <v>7633.5739999999987</v>
      </c>
      <c r="F27">
        <f t="shared" si="4"/>
        <v>7633.5739999999987</v>
      </c>
      <c r="G27" s="26">
        <f t="shared" si="2"/>
        <v>0.36618520267304205</v>
      </c>
      <c r="I27" s="10" t="s">
        <v>69</v>
      </c>
      <c r="J27" s="14">
        <v>17588.964000000011</v>
      </c>
      <c r="K27" s="29">
        <f t="shared" si="5"/>
        <v>17588.964000000011</v>
      </c>
      <c r="L27" s="26">
        <f t="shared" si="3"/>
        <v>0.14912994719624115</v>
      </c>
      <c r="V27" s="10" t="s">
        <v>148</v>
      </c>
      <c r="W27" s="14">
        <v>407.63400000000001</v>
      </c>
    </row>
    <row r="28" spans="1:23" x14ac:dyDescent="0.3">
      <c r="A28" s="10" t="s">
        <v>43</v>
      </c>
      <c r="B28" s="14">
        <v>33126.732999999993</v>
      </c>
      <c r="D28" s="10" t="s">
        <v>68</v>
      </c>
      <c r="E28" s="14">
        <v>-3228.0229999999988</v>
      </c>
      <c r="F28">
        <f t="shared" si="4"/>
        <v>-3228.0229999999988</v>
      </c>
      <c r="G28" s="26">
        <f t="shared" si="2"/>
        <v>-0.15484938725795297</v>
      </c>
      <c r="I28" s="10" t="s">
        <v>75</v>
      </c>
      <c r="J28" s="14">
        <v>18000.231999999996</v>
      </c>
      <c r="K28" s="29">
        <f t="shared" si="5"/>
        <v>18000.231999999996</v>
      </c>
      <c r="L28" s="26">
        <f t="shared" si="3"/>
        <v>0.15261692773264462</v>
      </c>
      <c r="V28" s="10" t="s">
        <v>338</v>
      </c>
      <c r="W28" s="14">
        <v>2248.431</v>
      </c>
    </row>
    <row r="29" spans="1:23" x14ac:dyDescent="0.3">
      <c r="A29" s="10" t="s">
        <v>948</v>
      </c>
      <c r="B29" s="14">
        <v>20846.210999999988</v>
      </c>
      <c r="D29" s="10" t="s">
        <v>64</v>
      </c>
      <c r="E29" s="14">
        <v>10867.722999999998</v>
      </c>
      <c r="F29">
        <f t="shared" si="4"/>
        <v>10867.722999999998</v>
      </c>
      <c r="G29" s="26">
        <f t="shared" si="2"/>
        <v>0.52132845628397406</v>
      </c>
      <c r="I29" s="10" t="s">
        <v>120</v>
      </c>
      <c r="J29" s="14">
        <v>14860.635</v>
      </c>
      <c r="K29" s="29">
        <f t="shared" si="5"/>
        <v>14860.635</v>
      </c>
      <c r="L29" s="26">
        <f t="shared" si="3"/>
        <v>0.1259975125796273</v>
      </c>
      <c r="V29" s="10" t="s">
        <v>385</v>
      </c>
      <c r="W29" s="14">
        <v>315.46800000000002</v>
      </c>
    </row>
    <row r="30" spans="1:23" x14ac:dyDescent="0.3">
      <c r="D30" s="10" t="s">
        <v>74</v>
      </c>
      <c r="E30" s="14">
        <v>3746.7679999999996</v>
      </c>
      <c r="F30">
        <f t="shared" si="4"/>
        <v>3746.7679999999996</v>
      </c>
      <c r="G30" s="26">
        <f t="shared" si="2"/>
        <v>0.17973376552698234</v>
      </c>
      <c r="I30" s="10" t="s">
        <v>948</v>
      </c>
      <c r="J30" s="14">
        <v>117943.87599999997</v>
      </c>
      <c r="V30" s="10" t="s">
        <v>164</v>
      </c>
      <c r="W30" s="14">
        <v>1094.1980000000001</v>
      </c>
    </row>
    <row r="31" spans="1:23" x14ac:dyDescent="0.3">
      <c r="D31" s="10" t="s">
        <v>21</v>
      </c>
      <c r="E31" s="14">
        <v>-5482.2330000000002</v>
      </c>
      <c r="F31">
        <f t="shared" si="4"/>
        <v>-5482.2330000000002</v>
      </c>
      <c r="G31" s="26">
        <f t="shared" si="2"/>
        <v>-0.26298462583919929</v>
      </c>
      <c r="V31" s="10" t="s">
        <v>258</v>
      </c>
      <c r="W31" s="14">
        <v>2059.3310000000001</v>
      </c>
    </row>
    <row r="32" spans="1:23" x14ac:dyDescent="0.3">
      <c r="D32" s="10" t="s">
        <v>948</v>
      </c>
      <c r="E32" s="14">
        <v>20846.210999999999</v>
      </c>
      <c r="F32">
        <f>GETPIVOTDATA("Profit",$D$23)</f>
        <v>20846.210999999999</v>
      </c>
      <c r="V32" s="10" t="s">
        <v>94</v>
      </c>
      <c r="W32" s="14">
        <v>636.08899999999994</v>
      </c>
    </row>
    <row r="33" spans="1:23" x14ac:dyDescent="0.3">
      <c r="V33" s="10" t="s">
        <v>298</v>
      </c>
      <c r="W33" s="14">
        <v>3775.8599999999997</v>
      </c>
    </row>
    <row r="34" spans="1:23" x14ac:dyDescent="0.3">
      <c r="V34" s="10" t="s">
        <v>271</v>
      </c>
      <c r="W34" s="14">
        <v>716.45999999999992</v>
      </c>
    </row>
    <row r="35" spans="1:23" x14ac:dyDescent="0.3">
      <c r="V35" s="10" t="s">
        <v>172</v>
      </c>
      <c r="W35" s="14">
        <v>1039.7149999999999</v>
      </c>
    </row>
    <row r="36" spans="1:23" x14ac:dyDescent="0.3">
      <c r="V36" s="10" t="s">
        <v>313</v>
      </c>
      <c r="W36" s="14">
        <v>2073.5869999999995</v>
      </c>
    </row>
    <row r="37" spans="1:23" x14ac:dyDescent="0.3">
      <c r="A37" s="15" t="s">
        <v>953</v>
      </c>
      <c r="V37" s="10" t="s">
        <v>352</v>
      </c>
      <c r="W37" s="14">
        <v>468.17399999999998</v>
      </c>
    </row>
    <row r="38" spans="1:23" x14ac:dyDescent="0.3">
      <c r="V38" s="10" t="s">
        <v>234</v>
      </c>
      <c r="W38" s="14">
        <v>2182.1420000000003</v>
      </c>
    </row>
    <row r="39" spans="1:23" x14ac:dyDescent="0.3">
      <c r="A39" s="9" t="s">
        <v>947</v>
      </c>
      <c r="B39" t="s">
        <v>954</v>
      </c>
      <c r="D39" s="9" t="s">
        <v>947</v>
      </c>
      <c r="E39" t="s">
        <v>954</v>
      </c>
      <c r="V39" s="10" t="s">
        <v>109</v>
      </c>
      <c r="W39" s="14">
        <v>78.229000000000013</v>
      </c>
    </row>
    <row r="40" spans="1:23" x14ac:dyDescent="0.3">
      <c r="A40" s="10" t="s">
        <v>58</v>
      </c>
      <c r="B40" s="14">
        <v>12575.121000000001</v>
      </c>
      <c r="D40" s="10" t="s">
        <v>34</v>
      </c>
      <c r="E40" s="14">
        <v>9657.9809999999979</v>
      </c>
      <c r="V40" s="10" t="s">
        <v>160</v>
      </c>
      <c r="W40" s="14">
        <v>789.5809999999999</v>
      </c>
    </row>
    <row r="41" spans="1:23" x14ac:dyDescent="0.3">
      <c r="A41" s="10" t="s">
        <v>20</v>
      </c>
      <c r="B41" s="14">
        <v>18571.872000000007</v>
      </c>
      <c r="D41" s="10" t="s">
        <v>44</v>
      </c>
      <c r="E41" s="14">
        <v>15507.397000000004</v>
      </c>
      <c r="V41" s="10" t="s">
        <v>222</v>
      </c>
      <c r="W41" s="14">
        <v>1199.2990000000002</v>
      </c>
    </row>
    <row r="42" spans="1:23" x14ac:dyDescent="0.3">
      <c r="A42" s="10" t="s">
        <v>49</v>
      </c>
      <c r="B42" s="14">
        <v>38912.415999999997</v>
      </c>
      <c r="D42" s="10" t="s">
        <v>50</v>
      </c>
      <c r="E42" s="14">
        <v>9371.3439999999955</v>
      </c>
      <c r="V42" s="10" t="s">
        <v>141</v>
      </c>
      <c r="W42" s="14">
        <v>1933.529</v>
      </c>
    </row>
    <row r="43" spans="1:23" x14ac:dyDescent="0.3">
      <c r="A43" s="10" t="s">
        <v>33</v>
      </c>
      <c r="B43" s="14">
        <v>16109.691999999999</v>
      </c>
      <c r="D43" s="10" t="s">
        <v>59</v>
      </c>
      <c r="E43" s="14">
        <v>17245.499999999996</v>
      </c>
      <c r="V43" s="10" t="s">
        <v>203</v>
      </c>
      <c r="W43" s="14">
        <v>247.001</v>
      </c>
    </row>
    <row r="44" spans="1:23" x14ac:dyDescent="0.3">
      <c r="A44" s="10" t="s">
        <v>43</v>
      </c>
      <c r="B44" s="14">
        <v>14712.224999999997</v>
      </c>
      <c r="D44" s="10" t="s">
        <v>68</v>
      </c>
      <c r="E44" s="14">
        <v>14352.347000000002</v>
      </c>
      <c r="V44" s="10" t="s">
        <v>135</v>
      </c>
      <c r="W44" s="14">
        <v>613.54199999999992</v>
      </c>
    </row>
    <row r="45" spans="1:23" x14ac:dyDescent="0.3">
      <c r="A45" s="10" t="s">
        <v>948</v>
      </c>
      <c r="B45" s="14">
        <v>100881.326</v>
      </c>
      <c r="D45" s="10" t="s">
        <v>64</v>
      </c>
      <c r="E45" s="14">
        <v>8595.7270000000008</v>
      </c>
      <c r="V45" s="10" t="s">
        <v>198</v>
      </c>
      <c r="W45" s="14">
        <v>936.35299999999984</v>
      </c>
    </row>
    <row r="46" spans="1:23" x14ac:dyDescent="0.3">
      <c r="D46" s="10" t="s">
        <v>74</v>
      </c>
      <c r="E46" s="14">
        <v>13779.036999999997</v>
      </c>
      <c r="V46" s="10" t="s">
        <v>294</v>
      </c>
      <c r="W46" s="14">
        <v>3101.5449999999992</v>
      </c>
    </row>
    <row r="47" spans="1:23" x14ac:dyDescent="0.3">
      <c r="A47" s="30">
        <f>GETPIVOTDATA("Units Sold",$A$39)</f>
        <v>100881.326</v>
      </c>
      <c r="D47" s="10" t="s">
        <v>21</v>
      </c>
      <c r="E47" s="14">
        <v>12371.993000000002</v>
      </c>
      <c r="V47" s="10" t="s">
        <v>335</v>
      </c>
      <c r="W47" s="14">
        <v>276.53699999999998</v>
      </c>
    </row>
    <row r="48" spans="1:23" x14ac:dyDescent="0.3">
      <c r="D48" s="10" t="s">
        <v>948</v>
      </c>
      <c r="E48" s="14">
        <v>100881.32599999999</v>
      </c>
      <c r="V48" s="10" t="s">
        <v>383</v>
      </c>
      <c r="W48" s="14">
        <v>85.122000000000014</v>
      </c>
    </row>
    <row r="49" spans="1:23" x14ac:dyDescent="0.3">
      <c r="V49" s="10" t="s">
        <v>38</v>
      </c>
      <c r="W49" s="14">
        <v>443.649</v>
      </c>
    </row>
    <row r="50" spans="1:23" x14ac:dyDescent="0.3">
      <c r="V50" s="10" t="s">
        <v>72</v>
      </c>
      <c r="W50" s="14">
        <v>1430.8620000000001</v>
      </c>
    </row>
    <row r="51" spans="1:23" x14ac:dyDescent="0.3">
      <c r="V51" s="10" t="s">
        <v>180</v>
      </c>
      <c r="W51" s="14">
        <v>199.10499999999999</v>
      </c>
    </row>
    <row r="52" spans="1:23" ht="25.2" x14ac:dyDescent="0.45">
      <c r="A52" s="16" t="s">
        <v>941</v>
      </c>
      <c r="B52" s="17">
        <f>GETPIVOTDATA("Net Sales",$A$3)</f>
        <v>117943.87600000003</v>
      </c>
      <c r="V52" s="10" t="s">
        <v>114</v>
      </c>
      <c r="W52" s="14">
        <v>1035.452</v>
      </c>
    </row>
    <row r="53" spans="1:23" ht="25.2" x14ac:dyDescent="0.45">
      <c r="A53" s="16" t="s">
        <v>19</v>
      </c>
      <c r="B53" s="17">
        <f>GETPIVOTDATA("Profit",$A$23)</f>
        <v>20846.210999999988</v>
      </c>
      <c r="V53" s="10" t="s">
        <v>318</v>
      </c>
      <c r="W53" s="14">
        <v>2340.0990000000002</v>
      </c>
    </row>
    <row r="54" spans="1:23" ht="24.6" x14ac:dyDescent="0.4">
      <c r="A54" s="18"/>
      <c r="B54" s="19">
        <f>B53/B52</f>
        <v>0.17674687068958106</v>
      </c>
      <c r="V54" s="10" t="s">
        <v>356</v>
      </c>
      <c r="W54" s="14">
        <v>1049.4390000000001</v>
      </c>
    </row>
    <row r="55" spans="1:23" x14ac:dyDescent="0.3">
      <c r="V55" s="10" t="s">
        <v>406</v>
      </c>
      <c r="W55" s="14">
        <v>1581.9330000000002</v>
      </c>
    </row>
    <row r="56" spans="1:23" x14ac:dyDescent="0.3">
      <c r="V56" s="10" t="s">
        <v>276</v>
      </c>
      <c r="W56" s="14">
        <v>3085.4090000000001</v>
      </c>
    </row>
    <row r="57" spans="1:23" x14ac:dyDescent="0.3">
      <c r="V57" s="10" t="s">
        <v>240</v>
      </c>
      <c r="W57" s="14">
        <v>1653.3500000000001</v>
      </c>
    </row>
    <row r="58" spans="1:23" x14ac:dyDescent="0.3">
      <c r="V58" s="10" t="s">
        <v>119</v>
      </c>
      <c r="W58" s="14">
        <v>473.97199999999998</v>
      </c>
    </row>
    <row r="59" spans="1:23" x14ac:dyDescent="0.3">
      <c r="V59" s="10" t="s">
        <v>362</v>
      </c>
      <c r="W59" s="14">
        <v>1816.9280000000001</v>
      </c>
    </row>
    <row r="60" spans="1:23" x14ac:dyDescent="0.3">
      <c r="V60" s="10" t="s">
        <v>412</v>
      </c>
      <c r="W60" s="14">
        <v>1230.9070000000002</v>
      </c>
    </row>
    <row r="61" spans="1:23" x14ac:dyDescent="0.3">
      <c r="V61" s="10" t="s">
        <v>182</v>
      </c>
      <c r="W61" s="14">
        <v>2128.875</v>
      </c>
    </row>
    <row r="62" spans="1:23" x14ac:dyDescent="0.3">
      <c r="V62" s="10" t="s">
        <v>279</v>
      </c>
      <c r="W62" s="14">
        <v>175.04400000000001</v>
      </c>
    </row>
    <row r="63" spans="1:23" x14ac:dyDescent="0.3">
      <c r="V63" s="10" t="s">
        <v>243</v>
      </c>
      <c r="W63" s="14">
        <v>1866.8479999999997</v>
      </c>
    </row>
    <row r="64" spans="1:23" x14ac:dyDescent="0.3">
      <c r="V64" s="10" t="s">
        <v>78</v>
      </c>
      <c r="W64" s="14">
        <v>2354.6020000000003</v>
      </c>
    </row>
    <row r="65" spans="22:23" x14ac:dyDescent="0.3">
      <c r="V65" s="10" t="s">
        <v>249</v>
      </c>
      <c r="W65" s="14">
        <v>6261.973</v>
      </c>
    </row>
    <row r="66" spans="22:23" x14ac:dyDescent="0.3">
      <c r="V66" s="10" t="s">
        <v>326</v>
      </c>
      <c r="W66" s="14">
        <v>130.12700000000001</v>
      </c>
    </row>
    <row r="67" spans="22:23" x14ac:dyDescent="0.3">
      <c r="V67" s="10" t="s">
        <v>127</v>
      </c>
      <c r="W67" s="14">
        <v>60.225999999999999</v>
      </c>
    </row>
    <row r="68" spans="22:23" x14ac:dyDescent="0.3">
      <c r="V68" s="10" t="s">
        <v>190</v>
      </c>
      <c r="W68" s="14">
        <v>2196.7190000000001</v>
      </c>
    </row>
    <row r="69" spans="22:23" x14ac:dyDescent="0.3">
      <c r="V69" s="10" t="s">
        <v>25</v>
      </c>
      <c r="W69" s="14">
        <v>679.24400000000003</v>
      </c>
    </row>
    <row r="70" spans="22:23" x14ac:dyDescent="0.3">
      <c r="V70" s="10" t="s">
        <v>61</v>
      </c>
      <c r="W70" s="14">
        <v>150.96499999999997</v>
      </c>
    </row>
    <row r="71" spans="22:23" x14ac:dyDescent="0.3">
      <c r="V71" s="10" t="s">
        <v>266</v>
      </c>
      <c r="W71" s="14">
        <v>1801.355</v>
      </c>
    </row>
    <row r="72" spans="22:23" x14ac:dyDescent="0.3">
      <c r="V72" s="10" t="s">
        <v>169</v>
      </c>
      <c r="W72" s="14">
        <v>1879.4299999999998</v>
      </c>
    </row>
    <row r="73" spans="22:23" x14ac:dyDescent="0.3">
      <c r="V73" s="10" t="s">
        <v>106</v>
      </c>
      <c r="W73" s="14">
        <v>1865.8810000000001</v>
      </c>
    </row>
    <row r="74" spans="22:23" x14ac:dyDescent="0.3">
      <c r="V74" s="10" t="s">
        <v>310</v>
      </c>
      <c r="W74" s="14">
        <v>2633.2719999999999</v>
      </c>
    </row>
    <row r="75" spans="22:23" x14ac:dyDescent="0.3">
      <c r="V75" s="10" t="s">
        <v>230</v>
      </c>
      <c r="W75" s="14">
        <v>2611.058</v>
      </c>
    </row>
    <row r="76" spans="22:23" x14ac:dyDescent="0.3">
      <c r="V76" s="10" t="s">
        <v>85</v>
      </c>
      <c r="W76" s="14">
        <v>773.346</v>
      </c>
    </row>
    <row r="77" spans="22:23" x14ac:dyDescent="0.3">
      <c r="V77" s="10" t="s">
        <v>225</v>
      </c>
      <c r="W77" s="14">
        <v>3098.5449999999996</v>
      </c>
    </row>
    <row r="78" spans="22:23" x14ac:dyDescent="0.3">
      <c r="V78" s="10" t="s">
        <v>264</v>
      </c>
      <c r="W78" s="14">
        <v>1101.3890000000001</v>
      </c>
    </row>
    <row r="79" spans="22:23" x14ac:dyDescent="0.3">
      <c r="V79" s="10" t="s">
        <v>99</v>
      </c>
      <c r="W79" s="14">
        <v>0</v>
      </c>
    </row>
    <row r="80" spans="22:23" x14ac:dyDescent="0.3">
      <c r="V80" s="10" t="s">
        <v>301</v>
      </c>
      <c r="W80" s="14">
        <v>3704.3339999999998</v>
      </c>
    </row>
    <row r="81" spans="22:23" x14ac:dyDescent="0.3">
      <c r="V81" s="10" t="s">
        <v>167</v>
      </c>
      <c r="W81" s="14">
        <v>640.36400000000003</v>
      </c>
    </row>
    <row r="82" spans="22:23" x14ac:dyDescent="0.3">
      <c r="V82" s="10" t="s">
        <v>151</v>
      </c>
      <c r="W82" s="14">
        <v>2002.3370000000002</v>
      </c>
    </row>
    <row r="83" spans="22:23" x14ac:dyDescent="0.3">
      <c r="V83" s="10" t="s">
        <v>213</v>
      </c>
      <c r="W83" s="14">
        <v>2300.2190000000005</v>
      </c>
    </row>
    <row r="84" spans="22:23" x14ac:dyDescent="0.3">
      <c r="V84" s="10" t="s">
        <v>46</v>
      </c>
      <c r="W84" s="14">
        <v>1537.0650000000001</v>
      </c>
    </row>
    <row r="85" spans="22:23" x14ac:dyDescent="0.3">
      <c r="V85" s="10" t="s">
        <v>52</v>
      </c>
      <c r="W85" s="14">
        <v>1656.701</v>
      </c>
    </row>
    <row r="86" spans="22:23" x14ac:dyDescent="0.3">
      <c r="V86" s="10" t="s">
        <v>238</v>
      </c>
      <c r="W86" s="14">
        <v>1731.5930000000001</v>
      </c>
    </row>
    <row r="87" spans="22:23" x14ac:dyDescent="0.3">
      <c r="V87" s="10" t="s">
        <v>177</v>
      </c>
      <c r="W87" s="14">
        <v>940.34199999999998</v>
      </c>
    </row>
    <row r="88" spans="22:23" x14ac:dyDescent="0.3">
      <c r="V88" s="10" t="s">
        <v>316</v>
      </c>
      <c r="W88" s="14">
        <v>33.207999999999998</v>
      </c>
    </row>
    <row r="89" spans="22:23" x14ac:dyDescent="0.3">
      <c r="V89" s="10" t="s">
        <v>111</v>
      </c>
      <c r="W89" s="14">
        <v>2344.855</v>
      </c>
    </row>
    <row r="90" spans="22:23" x14ac:dyDescent="0.3">
      <c r="V90" s="10" t="s">
        <v>354</v>
      </c>
      <c r="W90" s="14">
        <v>204.238</v>
      </c>
    </row>
    <row r="91" spans="22:23" x14ac:dyDescent="0.3">
      <c r="V91" s="10" t="s">
        <v>273</v>
      </c>
      <c r="W91" s="14">
        <v>192.036</v>
      </c>
    </row>
    <row r="92" spans="22:23" x14ac:dyDescent="0.3">
      <c r="V92" s="10" t="s">
        <v>138</v>
      </c>
      <c r="W92" s="14">
        <v>2013.1169999999997</v>
      </c>
    </row>
    <row r="93" spans="22:23" x14ac:dyDescent="0.3">
      <c r="V93" s="10" t="s">
        <v>201</v>
      </c>
      <c r="W93" s="14">
        <v>292.43099999999998</v>
      </c>
    </row>
    <row r="94" spans="22:23" x14ac:dyDescent="0.3">
      <c r="V94" s="10" t="s">
        <v>154</v>
      </c>
      <c r="W94" s="14">
        <v>1504.2120000000002</v>
      </c>
    </row>
    <row r="95" spans="22:23" x14ac:dyDescent="0.3">
      <c r="V95" s="10" t="s">
        <v>220</v>
      </c>
      <c r="W95" s="14">
        <v>1586.414</v>
      </c>
    </row>
    <row r="96" spans="22:23" x14ac:dyDescent="0.3">
      <c r="V96" s="10" t="s">
        <v>90</v>
      </c>
      <c r="W96" s="14">
        <v>70.33</v>
      </c>
    </row>
    <row r="97" spans="22:23" x14ac:dyDescent="0.3">
      <c r="V97" s="10" t="s">
        <v>162</v>
      </c>
      <c r="W97" s="14">
        <v>1212.9839999999999</v>
      </c>
    </row>
    <row r="98" spans="22:23" x14ac:dyDescent="0.3">
      <c r="V98" s="10" t="s">
        <v>948</v>
      </c>
      <c r="W98" s="14">
        <v>117943.87599999995</v>
      </c>
    </row>
  </sheetData>
  <mergeCells count="5">
    <mergeCell ref="A2:B2"/>
    <mergeCell ref="E2:F2"/>
    <mergeCell ref="G3:H3"/>
    <mergeCell ref="J3:K3"/>
    <mergeCell ref="A21:B21"/>
  </mergeCells>
  <pageMargins left="0.7" right="0.7" top="0.75" bottom="0.75" header="0.3" footer="0.3"/>
  <pageSetup paperSize="9" orientation="portrait" horizontalDpi="360" verticalDpi="360"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0563A-EDF2-4660-8E56-E66EEE249AC1}">
  <dimension ref="A1:B23"/>
  <sheetViews>
    <sheetView topLeftCell="A4" zoomScale="70" zoomScaleNormal="70" workbookViewId="0">
      <selection activeCell="H30" sqref="H30"/>
    </sheetView>
  </sheetViews>
  <sheetFormatPr defaultRowHeight="14.4" x14ac:dyDescent="0.3"/>
  <cols>
    <col min="2" max="2" width="9.77734375" bestFit="1" customWidth="1"/>
  </cols>
  <sheetData>
    <row r="1" spans="1:2" ht="15" thickBot="1" x14ac:dyDescent="0.35">
      <c r="A1" s="7" t="s">
        <v>925</v>
      </c>
      <c r="B1" s="2"/>
    </row>
    <row r="2" spans="1:2" ht="29.4" thickBot="1" x14ac:dyDescent="0.35">
      <c r="A2" s="4" t="s">
        <v>926</v>
      </c>
      <c r="B2" s="2"/>
    </row>
    <row r="3" spans="1:2" ht="29.4" thickBot="1" x14ac:dyDescent="0.35">
      <c r="A3" s="4" t="s">
        <v>927</v>
      </c>
      <c r="B3" s="2"/>
    </row>
    <row r="4" spans="1:2" ht="29.4" thickBot="1" x14ac:dyDescent="0.35">
      <c r="A4" s="4" t="s">
        <v>928</v>
      </c>
      <c r="B4" s="2"/>
    </row>
    <row r="5" spans="1:2" ht="29.4" thickBot="1" x14ac:dyDescent="0.35">
      <c r="A5" s="4" t="s">
        <v>929</v>
      </c>
      <c r="B5" s="2"/>
    </row>
    <row r="6" spans="1:2" ht="29.4" thickBot="1" x14ac:dyDescent="0.35">
      <c r="A6" s="4" t="s">
        <v>930</v>
      </c>
      <c r="B6" s="2"/>
    </row>
    <row r="7" spans="1:2" ht="29.4" thickBot="1" x14ac:dyDescent="0.35">
      <c r="A7" s="4" t="s">
        <v>931</v>
      </c>
      <c r="B7" s="2"/>
    </row>
    <row r="8" spans="1:2" ht="29.4" thickBot="1" x14ac:dyDescent="0.35">
      <c r="A8" s="4" t="s">
        <v>932</v>
      </c>
      <c r="B8" s="2"/>
    </row>
    <row r="9" spans="1:2" ht="29.4" thickBot="1" x14ac:dyDescent="0.35">
      <c r="A9" s="4" t="s">
        <v>933</v>
      </c>
      <c r="B9" s="2"/>
    </row>
    <row r="10" spans="1:2" ht="29.4" thickBot="1" x14ac:dyDescent="0.35">
      <c r="A10" s="4" t="s">
        <v>934</v>
      </c>
      <c r="B10" s="2"/>
    </row>
    <row r="11" spans="1:2" ht="29.4" thickBot="1" x14ac:dyDescent="0.35">
      <c r="A11" s="4" t="s">
        <v>935</v>
      </c>
      <c r="B11" s="2"/>
    </row>
    <row r="12" spans="1:2" ht="29.4" thickBot="1" x14ac:dyDescent="0.35">
      <c r="A12" s="4" t="s">
        <v>936</v>
      </c>
      <c r="B12" s="2"/>
    </row>
    <row r="13" spans="1:2" ht="29.4" thickBot="1" x14ac:dyDescent="0.35">
      <c r="A13" s="4" t="s">
        <v>937</v>
      </c>
      <c r="B13" s="2"/>
    </row>
    <row r="14" spans="1:2" ht="29.4" thickBot="1" x14ac:dyDescent="0.35">
      <c r="A14" s="7" t="s">
        <v>938</v>
      </c>
      <c r="B14" s="2"/>
    </row>
    <row r="15" spans="1:2" ht="15" thickBot="1" x14ac:dyDescent="0.35">
      <c r="A15" s="2"/>
      <c r="B15" s="2"/>
    </row>
    <row r="16" spans="1:2" ht="15" thickBot="1" x14ac:dyDescent="0.35">
      <c r="A16" s="2"/>
      <c r="B16" s="2"/>
    </row>
    <row r="17" spans="1:2" ht="15" thickBot="1" x14ac:dyDescent="0.35">
      <c r="A17" s="2"/>
      <c r="B17" s="2"/>
    </row>
    <row r="18" spans="1:2" ht="15" thickBot="1" x14ac:dyDescent="0.35">
      <c r="A18" s="8" t="s">
        <v>939</v>
      </c>
      <c r="B18" s="2"/>
    </row>
    <row r="19" spans="1:2" ht="15" thickBot="1" x14ac:dyDescent="0.35">
      <c r="A19" s="8" t="s">
        <v>940</v>
      </c>
      <c r="B19" s="2"/>
    </row>
    <row r="20" spans="1:2" ht="29.4" thickBot="1" x14ac:dyDescent="0.35">
      <c r="A20" s="2" t="s">
        <v>941</v>
      </c>
      <c r="B20" s="4" t="s">
        <v>938</v>
      </c>
    </row>
    <row r="21" spans="1:2" ht="29.4" thickBot="1" x14ac:dyDescent="0.35">
      <c r="A21" s="2" t="s">
        <v>19</v>
      </c>
      <c r="B21" s="4" t="s">
        <v>942</v>
      </c>
    </row>
    <row r="22" spans="1:2" ht="29.4" thickBot="1" x14ac:dyDescent="0.35">
      <c r="A22" s="2" t="s">
        <v>943</v>
      </c>
      <c r="B22" s="4" t="s">
        <v>944</v>
      </c>
    </row>
    <row r="23" spans="1:2" ht="15" thickBot="1" x14ac:dyDescent="0.35">
      <c r="A23" s="2" t="s">
        <v>945</v>
      </c>
      <c r="B23" s="4" t="s">
        <v>946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4135F-73CC-499A-9EB7-66015B8037DB}">
  <dimension ref="Y23"/>
  <sheetViews>
    <sheetView showGridLines="0" tabSelected="1" zoomScale="70" zoomScaleNormal="70" workbookViewId="0">
      <selection activeCell="AA17" sqref="AA17"/>
    </sheetView>
  </sheetViews>
  <sheetFormatPr defaultRowHeight="14.4" x14ac:dyDescent="0.3"/>
  <cols>
    <col min="1" max="16384" width="8.88671875" style="27"/>
  </cols>
  <sheetData>
    <row r="23" spans="25:25" x14ac:dyDescent="0.3">
      <c r="Y23" s="28"/>
    </row>
  </sheetData>
  <pageMargins left="0.7" right="0.7" top="0.75" bottom="0.75" header="0.3" footer="0.3"/>
  <pageSetup paperSize="9" orientation="portrait" horizontalDpi="360" verticalDpi="36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Analysis</vt:lpstr>
      <vt:lpstr>Sheet4</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ACER</cp:lastModifiedBy>
  <dcterms:created xsi:type="dcterms:W3CDTF">2025-12-02T07:21:58Z</dcterms:created>
  <dcterms:modified xsi:type="dcterms:W3CDTF">2025-12-03T14:19:12Z</dcterms:modified>
</cp:coreProperties>
</file>